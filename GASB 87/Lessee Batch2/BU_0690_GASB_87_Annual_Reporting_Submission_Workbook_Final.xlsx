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13_ncr:1_{3A98B4E8-B504-46C6-ACAA-D9F2DD9B6798}" xr6:coauthVersionLast="47" xr6:coauthVersionMax="47" xr10:uidLastSave="{00000000-0000-0000-0000-000000000000}"/>
  <bookViews>
    <workbookView xWindow="20370" yWindow="-120" windowWidth="29040" windowHeight="15840" tabRatio="921" firstSheet="2" activeTab="7"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9751 Journal Entries" sheetId="16" r:id="rId5"/>
    <sheet name="LS-Department Note Disclosure" sheetId="3" r:id="rId6"/>
    <sheet name="LS-Lease Liabilities" sheetId="4" r:id="rId7"/>
    <sheet name="LS-Check Figures  " sheetId="7" r:id="rId8"/>
  </sheets>
  <externalReferences>
    <externalReference r:id="rId9"/>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'LS-Department Note Disclosure'!$A$1:$F$96</definedName>
    <definedName name="_xlnm.Print_Area" localSheetId="3">'LS-Fund 0001 Journal Entries'!$A$1:$R$130</definedName>
    <definedName name="_xlnm.Print_Area" localSheetId="4">'LS-Fund 9751 Journal Entries'!$A$1:$R$130</definedName>
    <definedName name="_xlnm.Print_Area" localSheetId="6">'LS-Lease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7" l="1"/>
  <c r="J24" i="7"/>
  <c r="H24" i="7"/>
  <c r="F24" i="7"/>
  <c r="D24" i="7"/>
  <c r="B24" i="7"/>
  <c r="N14" i="4"/>
  <c r="J14" i="4"/>
  <c r="H14" i="4"/>
  <c r="F14" i="4"/>
  <c r="K129" i="16"/>
  <c r="K114" i="16"/>
  <c r="J114" i="16"/>
  <c r="L114" i="16" s="1"/>
  <c r="K105" i="16"/>
  <c r="J105" i="16"/>
  <c r="C104" i="16"/>
  <c r="B100" i="16"/>
  <c r="K91" i="16"/>
  <c r="J91" i="16"/>
  <c r="L91" i="16" s="1"/>
  <c r="K77" i="16"/>
  <c r="J77" i="16"/>
  <c r="K70" i="16"/>
  <c r="J70" i="16"/>
  <c r="L69" i="16"/>
  <c r="K65" i="16"/>
  <c r="J65" i="16"/>
  <c r="C64" i="16"/>
  <c r="B63" i="16"/>
  <c r="L62" i="16"/>
  <c r="K59" i="16"/>
  <c r="J59" i="16"/>
  <c r="K49" i="16"/>
  <c r="J49" i="16"/>
  <c r="K43" i="16"/>
  <c r="J43" i="16"/>
  <c r="K36" i="16"/>
  <c r="J36" i="16"/>
  <c r="C35" i="16"/>
  <c r="S25" i="16"/>
  <c r="Q24" i="16"/>
  <c r="K24" i="16" s="1"/>
  <c r="S23" i="16"/>
  <c r="K23" i="16"/>
  <c r="K128" i="16" s="1"/>
  <c r="S22" i="16"/>
  <c r="K22" i="16"/>
  <c r="K127" i="16" s="1"/>
  <c r="S21" i="16"/>
  <c r="K21" i="16"/>
  <c r="K126" i="16" s="1"/>
  <c r="S20" i="16"/>
  <c r="K20" i="16"/>
  <c r="S19" i="16"/>
  <c r="S18" i="16"/>
  <c r="P18" i="16"/>
  <c r="J18" i="16"/>
  <c r="S17" i="16"/>
  <c r="J17" i="16"/>
  <c r="K124" i="16" s="1"/>
  <c r="S16" i="16"/>
  <c r="J16" i="16"/>
  <c r="K123" i="16" s="1"/>
  <c r="S15" i="16"/>
  <c r="J15" i="16"/>
  <c r="K122" i="16" s="1"/>
  <c r="F9" i="16"/>
  <c r="L105" i="16" l="1"/>
  <c r="L77" i="16"/>
  <c r="L70" i="16"/>
  <c r="L65" i="16"/>
  <c r="L59" i="16"/>
  <c r="L49" i="16"/>
  <c r="L43" i="16"/>
  <c r="L36" i="16"/>
  <c r="J19" i="16"/>
  <c r="J26" i="16" s="1"/>
  <c r="K25" i="16"/>
  <c r="K26" i="16" s="1"/>
  <c r="S24" i="16"/>
  <c r="K125" i="16"/>
  <c r="L26" i="16" l="1"/>
  <c r="B63" i="2" l="1"/>
  <c r="J18" i="4"/>
  <c r="J10" i="4"/>
  <c r="H18" i="4"/>
  <c r="H10" i="4"/>
  <c r="N18" i="4"/>
  <c r="N10" i="4"/>
  <c r="F18"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H78" i="7"/>
  <c r="H79" i="7"/>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78" i="7"/>
  <c r="J78" i="7" s="1"/>
  <c r="P78" i="7" s="1"/>
  <c r="D16" i="7"/>
  <c r="B57" i="7"/>
  <c r="D91" i="7" s="1"/>
  <c r="J91" i="7" s="1"/>
  <c r="P91" i="7" s="1"/>
  <c r="D80" i="7"/>
  <c r="J80" i="7" s="1"/>
  <c r="P80" i="7" s="1"/>
  <c r="B42" i="7"/>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<sst xmlns="http://schemas.openxmlformats.org/spreadsheetml/2006/main" count="7848" uniqueCount="1716">
  <si>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</si>
  <si>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</si>
  <si>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</si>
  <si>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</si>
  <si>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</si>
  <si>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</si>
  <si>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</si>
  <si>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</si>
  <si>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</si>
  <si>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</si>
  <si>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</si>
  <si>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</si>
  <si>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</si>
  <si>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</si>
  <si>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</si>
  <si>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</si>
  <si>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</si>
  <si>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</si>
  <si>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</si>
  <si>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</si>
  <si>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</si>
  <si>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</si>
  <si>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</si>
  <si>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</si>
  <si>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</si>
  <si>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</si>
  <si>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</si>
  <si>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</si>
  <si>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</si>
  <si>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</si>
  <si>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</si>
  <si>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</si>
  <si>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</si>
  <si>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</si>
  <si>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</si>
  <si>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</si>
  <si>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</si>
  <si>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</si>
  <si>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</si>
  <si>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</si>
  <si>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</si>
  <si>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</si>
  <si>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</si>
  <si>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</si>
  <si>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</si>
  <si>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</si>
  <si>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</si>
  <si>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</si>
  <si>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</si>
  <si>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</si>
  <si>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</si>
  <si>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</si>
  <si>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</si>
  <si>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</si>
  <si>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</si>
  <si>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</si>
  <si>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</si>
  <si>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</si>
  <si>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</si>
  <si>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</si>
  <si>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</si>
  <si>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</si>
  <si>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</si>
  <si>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</si>
  <si>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</si>
  <si>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</si>
  <si>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</si>
  <si>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</si>
  <si>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</si>
  <si>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</si>
  <si>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</si>
  <si>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</si>
  <si>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</si>
  <si>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</si>
  <si>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</si>
  <si>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</si>
  <si>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</si>
  <si>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</si>
  <si>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</si>
  <si>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</si>
  <si>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</si>
  <si>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</si>
  <si>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</si>
  <si>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</si>
  <si>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</si>
  <si>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</si>
  <si>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</si>
  <si>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</si>
  <si>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</si>
  <si>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</si>
  <si>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</si>
  <si>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</si>
  <si>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</si>
  <si>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</si>
  <si>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</si>
  <si>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</si>
  <si>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</si>
  <si>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</si>
  <si>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</si>
  <si>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</si>
  <si>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</si>
  <si>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</si>
  <si>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</si>
  <si>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</si>
  <si>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</si>
  <si>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</si>
  <si>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</si>
  <si>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</si>
  <si>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</si>
  <si>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</si>
  <si>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</si>
  <si>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</si>
  <si>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</si>
  <si>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</si>
  <si>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</si>
  <si>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</si>
  <si>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</si>
  <si>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</si>
  <si>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</si>
  <si>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</si>
  <si>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</si>
  <si>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</si>
  <si>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</si>
  <si>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</si>
  <si>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</si>
  <si>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</si>
  <si>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</si>
  <si>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</si>
  <si>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</si>
  <si>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</si>
  <si>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</si>
  <si>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</si>
  <si>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</si>
  <si>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</si>
  <si>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</si>
  <si>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</si>
  <si>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</si>
  <si>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</si>
  <si>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</si>
  <si>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</si>
  <si>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</si>
  <si>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</si>
  <si>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</si>
  <si>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</si>
  <si>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</si>
  <si>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</si>
  <si>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</si>
  <si>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</si>
  <si>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</si>
  <si>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</si>
  <si>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</si>
  <si>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</si>
  <si>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</si>
  <si>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</si>
  <si>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</si>
  <si>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</si>
  <si>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</si>
  <si>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</si>
  <si>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</si>
  <si>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</si>
  <si>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</si>
  <si>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</si>
  <si>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</si>
  <si>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</si>
  <si>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</si>
  <si>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</si>
  <si>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</si>
  <si>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</si>
  <si>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</si>
  <si>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</si>
  <si>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</si>
  <si>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</si>
  <si>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</si>
  <si>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</si>
  <si>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</si>
  <si>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</si>
  <si>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</si>
  <si>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</si>
  <si>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</si>
  <si>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</si>
  <si>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</si>
  <si>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</si>
  <si>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</si>
  <si>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</si>
  <si>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</si>
  <si>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</si>
  <si>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</si>
  <si>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</si>
  <si>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</si>
  <si>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</si>
  <si>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</si>
  <si>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</si>
  <si>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</si>
  <si>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</si>
  <si>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</si>
  <si>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</si>
  <si>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</si>
  <si>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</si>
  <si>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</si>
  <si>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</si>
  <si>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</si>
  <si>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</si>
  <si>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</si>
  <si>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</si>
  <si>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</si>
  <si>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</si>
  <si>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</si>
  <si>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</si>
  <si>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</si>
  <si>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</si>
  <si>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</si>
  <si>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</si>
  <si>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</si>
  <si>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</si>
  <si>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</si>
  <si>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</si>
  <si>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</si>
  <si>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</si>
  <si>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</si>
  <si>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</si>
  <si>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</si>
  <si>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</si>
  <si>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</si>
  <si>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</si>
  <si>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</si>
  <si>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</si>
  <si>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</si>
  <si>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</si>
  <si>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</si>
  <si>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</si>
  <si>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</si>
  <si>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</si>
  <si>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</si>
  <si>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</si>
  <si>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</si>
  <si>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</si>
  <si>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</si>
  <si>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</si>
  <si>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</si>
  <si>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</si>
  <si>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</si>
  <si>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</si>
  <si>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</si>
  <si>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</si>
  <si>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</si>
  <si>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</si>
  <si>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</si>
  <si>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</si>
  <si>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</si>
  <si>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</si>
  <si>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</si>
  <si>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</si>
  <si>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</si>
  <si>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</si>
  <si>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</si>
  <si>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</si>
  <si>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</si>
  <si>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</si>
  <si>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</si>
  <si>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</si>
  <si>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</si>
  <si>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</si>
  <si>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</si>
  <si>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</si>
  <si>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</si>
  <si>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</si>
  <si>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</si>
  <si>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</si>
  <si>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</si>
  <si>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</si>
  <si>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</si>
  <si>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</si>
  <si>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</si>
  <si>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</si>
  <si>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</si>
  <si>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</si>
  <si>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</si>
  <si>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</si>
  <si>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</si>
  <si>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</si>
  <si>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</si>
  <si>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</si>
  <si>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</si>
  <si>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</si>
  <si>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</si>
  <si>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</si>
  <si>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</si>
  <si>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</si>
  <si>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</si>
  <si>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</si>
  <si>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</si>
  <si>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</si>
  <si>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</si>
  <si>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</si>
  <si>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</si>
  <si>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</si>
  <si>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</si>
  <si>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</si>
  <si>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</si>
  <si>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</si>
  <si>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</si>
  <si>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</si>
  <si>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</si>
  <si>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</si>
  <si>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</si>
  <si>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</si>
  <si>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</si>
  <si>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</si>
  <si>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</si>
  <si>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</si>
  <si>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</si>
  <si>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</si>
  <si>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</si>
  <si>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</si>
  <si>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</si>
  <si>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</si>
  <si>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</si>
  <si>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</si>
  <si>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</si>
  <si>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</si>
  <si>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</si>
  <si>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</si>
  <si>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</si>
  <si>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</si>
  <si>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</si>
  <si>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</si>
  <si>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</si>
  <si>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</si>
  <si>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</si>
  <si>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</si>
  <si>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</si>
  <si>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</si>
  <si>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</si>
  <si>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</si>
  <si>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</si>
  <si>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</si>
  <si>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</si>
  <si>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</si>
  <si>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</si>
  <si>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</si>
  <si>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</si>
  <si>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</si>
  <si>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</si>
  <si>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</si>
  <si>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</si>
  <si>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</si>
  <si>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</si>
  <si>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</si>
  <si>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</si>
  <si>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</si>
  <si>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</si>
  <si>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</si>
  <si>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</si>
  <si>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</si>
  <si>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</si>
  <si>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</si>
  <si>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</si>
  <si>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</si>
  <si>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</si>
  <si>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</si>
  <si>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</si>
  <si>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</si>
  <si>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</si>
  <si>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</si>
  <si>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</si>
  <si>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</si>
  <si>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</si>
  <si>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</si>
  <si>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</si>
  <si>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</si>
  <si>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</si>
  <si>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</si>
  <si>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</si>
  <si>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</si>
  <si>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</si>
  <si>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</si>
  <si>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</si>
  <si>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</si>
  <si>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</si>
  <si>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</si>
  <si>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</si>
  <si>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</si>
  <si>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</si>
  <si>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</si>
  <si>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</si>
  <si>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</si>
  <si>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</si>
  <si>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</si>
  <si>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</si>
  <si>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</si>
  <si>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</si>
  <si>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</si>
  <si>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</si>
  <si>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</si>
  <si>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</si>
  <si>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</si>
  <si>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</si>
  <si>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</si>
  <si>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</si>
  <si>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</si>
  <si>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</si>
  <si>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</si>
  <si>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</si>
  <si>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</si>
  <si>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</si>
  <si>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</si>
  <si>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</si>
  <si>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</si>
  <si>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</si>
  <si>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</si>
  <si>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</si>
  <si>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</si>
  <si>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</si>
  <si>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</si>
  <si>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</si>
  <si>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</si>
  <si>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</si>
  <si>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</si>
  <si>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</si>
  <si>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</si>
  <si>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</si>
  <si>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</si>
  <si>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</si>
  <si>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</si>
  <si>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</si>
  <si>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</si>
  <si>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</si>
  <si>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</si>
  <si>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</si>
  <si>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</si>
  <si>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</si>
  <si>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</si>
  <si>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</si>
  <si>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</si>
  <si>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</si>
  <si>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</si>
  <si>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</si>
  <si>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</si>
  <si>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</si>
  <si>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</si>
  <si>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</si>
  <si>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</si>
  <si>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</si>
  <si>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</si>
  <si>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</si>
  <si>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</si>
  <si>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</si>
  <si>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</si>
  <si>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</si>
  <si>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</si>
  <si>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</si>
  <si>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</si>
  <si>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</si>
  <si>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</si>
  <si>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</si>
  <si>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</si>
  <si>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</si>
  <si>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</si>
  <si>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</si>
  <si>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</si>
  <si>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</si>
  <si>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</si>
  <si>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</si>
  <si>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</si>
  <si>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</si>
  <si>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</si>
  <si>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</si>
  <si>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</si>
  <si>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</si>
  <si>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</si>
  <si>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</si>
  <si>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</si>
  <si>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</si>
  <si>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</si>
  <si>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</si>
  <si>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</si>
  <si>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</si>
  <si>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</si>
  <si>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</si>
  <si>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</si>
  <si>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</si>
  <si>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</si>
  <si>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</si>
  <si>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</si>
  <si>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</si>
  <si>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</si>
  <si>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</si>
  <si>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</si>
  <si>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</si>
  <si>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</si>
  <si>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</si>
  <si>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</si>
  <si>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</si>
  <si>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</si>
  <si>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</si>
  <si>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</si>
  <si>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</si>
  <si>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</si>
  <si>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</si>
  <si>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</si>
  <si>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</si>
  <si>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</si>
  <si>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</si>
  <si>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</si>
  <si>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</si>
  <si>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</si>
  <si>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</si>
  <si>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</si>
  <si>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</si>
  <si>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</si>
  <si>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</si>
  <si>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</si>
  <si>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</si>
  <si>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</si>
  <si>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</si>
  <si>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</si>
  <si>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</si>
  <si>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</si>
  <si>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</si>
  <si>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</si>
  <si>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</si>
  <si>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</si>
  <si>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</si>
  <si>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</si>
  <si>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</si>
  <si>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</si>
  <si>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</si>
  <si>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</si>
  <si>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</si>
  <si>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</si>
  <si>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</si>
  <si>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</si>
  <si>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</si>
  <si>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</si>
  <si>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</si>
  <si>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</si>
  <si>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</si>
  <si>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</si>
  <si>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</si>
  <si>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</si>
  <si>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</si>
  <si>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</si>
  <si>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</si>
  <si>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</si>
  <si>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</si>
  <si>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</si>
  <si>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</si>
  <si>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</si>
  <si>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</si>
  <si>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</si>
  <si>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</si>
  <si>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</si>
  <si>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</si>
  <si>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</si>
  <si>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</si>
  <si>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</si>
  <si>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</si>
  <si>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</si>
  <si>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</si>
  <si>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</si>
  <si>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</si>
  <si>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</si>
  <si>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</si>
  <si>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</si>
  <si>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</si>
  <si>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</si>
  <si>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</si>
  <si>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</si>
  <si>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</si>
  <si>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</si>
  <si>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</si>
  <si>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</si>
  <si>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</si>
  <si>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</si>
  <si>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</si>
  <si>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</si>
  <si>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</si>
  <si>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</si>
  <si>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</si>
  <si>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</si>
  <si>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</si>
  <si>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</si>
  <si>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</si>
  <si>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</si>
  <si>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</si>
  <si>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</si>
  <si>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</si>
  <si>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</si>
  <si>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</si>
  <si>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</si>
  <si>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</si>
  <si>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</si>
  <si>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</si>
  <si>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</si>
  <si>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</si>
  <si>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</si>
  <si>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</si>
  <si>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</si>
  <si>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</si>
  <si>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</si>
  <si>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</si>
  <si>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</si>
  <si>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</si>
  <si>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</si>
  <si>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</si>
  <si>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</si>
  <si>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</si>
  <si>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</si>
  <si>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</si>
  <si>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</si>
  <si>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</si>
  <si>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</si>
  <si>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</si>
  <si>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</si>
  <si>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</si>
  <si>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</si>
  <si>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</si>
  <si>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</si>
  <si>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</si>
  <si>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</si>
  <si>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</si>
  <si>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</si>
  <si>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</si>
  <si>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</si>
  <si>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</si>
  <si>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</si>
  <si>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</si>
  <si>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</si>
  <si>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</si>
  <si>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</si>
  <si>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</si>
  <si>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</si>
  <si>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</si>
  <si>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</si>
  <si>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</si>
  <si>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</si>
  <si>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</si>
  <si>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</si>
  <si>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</si>
  <si>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</si>
  <si>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</si>
  <si>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</si>
  <si>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</si>
  <si>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</si>
  <si>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</si>
  <si>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</si>
  <si>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</si>
  <si>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</si>
  <si>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</si>
  <si>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</si>
  <si>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</si>
  <si>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</si>
  <si>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</si>
  <si>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</si>
  <si>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</si>
  <si>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</si>
  <si>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</si>
  <si>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</si>
  <si>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</si>
  <si>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</si>
  <si>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</si>
  <si>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</si>
  <si>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</si>
  <si>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</si>
  <si>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</si>
  <si>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</si>
  <si>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</si>
  <si>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</si>
  <si>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</si>
  <si>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</si>
  <si>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</si>
  <si>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</si>
  <si>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</si>
  <si>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</si>
  <si>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</si>
  <si>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</si>
  <si>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</si>
  <si>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</si>
  <si>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</si>
  <si>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</si>
  <si>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</si>
  <si>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</si>
  <si>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</si>
  <si>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</si>
  <si>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</si>
  <si>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</si>
  <si>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</si>
  <si>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</si>
  <si>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</si>
  <si>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</si>
  <si>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</si>
  <si>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</si>
  <si>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</si>
  <si>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</si>
  <si>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</si>
  <si>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</si>
  <si>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</si>
  <si>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</si>
  <si>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</si>
  <si>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</si>
  <si>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</si>
  <si>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</si>
  <si>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</si>
  <si>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</si>
  <si>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</si>
  <si>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</si>
  <si>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</si>
  <si>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</si>
  <si>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</si>
  <si>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</si>
  <si>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</si>
  <si>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</si>
  <si>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</si>
  <si>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</si>
  <si>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</si>
  <si>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</si>
  <si>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</si>
  <si>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</si>
  <si>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</si>
  <si>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</si>
  <si>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</si>
  <si>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</si>
  <si>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</si>
  <si>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</si>
  <si>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</si>
  <si>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</si>
  <si>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</si>
  <si>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</si>
  <si>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</si>
  <si>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</si>
  <si>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</si>
  <si>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</si>
  <si>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</si>
  <si>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</si>
  <si>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</si>
  <si>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</si>
  <si>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</si>
  <si>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</si>
  <si>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</si>
  <si>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</si>
  <si>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</si>
  <si>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</si>
  <si>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</si>
  <si>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</si>
  <si>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</si>
  <si>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</si>
  <si>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</si>
  <si>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</si>
  <si>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</si>
  <si>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</si>
  <si>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</si>
  <si>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</si>
  <si>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</si>
  <si>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</si>
  <si>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</si>
  <si>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</si>
  <si>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</si>
  <si>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</si>
  <si>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</si>
  <si>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</si>
  <si>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</si>
  <si>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</si>
  <si>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</si>
  <si>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</si>
  <si>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</si>
  <si>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</si>
  <si>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</si>
  <si>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</si>
  <si>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</si>
  <si>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</si>
  <si>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</si>
  <si>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</si>
  <si>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</si>
  <si>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</si>
  <si>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</si>
  <si>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</si>
  <si>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</si>
  <si>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</si>
  <si>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</si>
  <si>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</si>
  <si>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</si>
  <si>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</si>
  <si>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</si>
  <si>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</si>
  <si>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</si>
  <si>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</si>
  <si>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</si>
  <si>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</si>
  <si>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</si>
  <si>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</si>
  <si>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</si>
  <si>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</si>
  <si>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</si>
  <si>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</si>
  <si>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</si>
  <si>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</si>
  <si>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</si>
  <si>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</si>
  <si>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</si>
  <si>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</si>
  <si>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</si>
  <si>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</si>
  <si>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</si>
  <si>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</si>
  <si>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</si>
  <si>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</si>
  <si>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</si>
  <si>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</si>
  <si>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</si>
  <si>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</si>
  <si>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</si>
  <si>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</si>
  <si>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</si>
  <si>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</si>
  <si>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</si>
  <si>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</si>
  <si>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</si>
  <si>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</si>
  <si>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</si>
  <si>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</si>
  <si>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</si>
  <si>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</si>
  <si>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</si>
  <si>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</si>
  <si>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</si>
  <si>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</si>
  <si>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</si>
  <si>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</si>
  <si>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</si>
  <si>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</si>
  <si>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</si>
  <si>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</si>
  <si>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</si>
  <si>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</si>
  <si>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</si>
  <si>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</si>
  <si>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</si>
  <si>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</si>
  <si>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</si>
  <si>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</si>
  <si>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</si>
  <si>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</si>
  <si>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</si>
  <si>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</si>
  <si>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</si>
  <si>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</si>
  <si>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</si>
  <si>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</si>
  <si>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</si>
  <si>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</si>
  <si>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</si>
  <si>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</si>
  <si>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</si>
  <si>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</si>
  <si>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</si>
  <si>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</si>
  <si>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</si>
  <si>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</si>
  <si>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</si>
  <si>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</si>
  <si>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</si>
  <si>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</si>
  <si>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</si>
  <si>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</si>
  <si>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</si>
  <si>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</si>
  <si>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</si>
  <si>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</si>
  <si>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</si>
  <si>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</si>
  <si>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</si>
  <si>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</si>
  <si>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</si>
  <si>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</si>
  <si>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</si>
  <si>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</si>
  <si>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</si>
  <si>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</si>
  <si>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</si>
  <si>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</si>
  <si>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</si>
  <si>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</si>
  <si>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</si>
  <si>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</si>
  <si>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</si>
  <si>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</si>
  <si>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</si>
  <si>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</si>
  <si>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</si>
  <si>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</si>
  <si>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</si>
  <si>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</si>
  <si>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</si>
  <si>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</si>
  <si>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</si>
  <si>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</si>
  <si>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</si>
  <si>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</si>
  <si>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</si>
  <si>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</si>
  <si>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</si>
  <si>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</si>
  <si>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</si>
  <si>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</si>
  <si>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</si>
  <si>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</si>
  <si>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</si>
  <si>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</si>
  <si>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</si>
  <si>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</si>
  <si>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</si>
  <si>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</si>
  <si>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</si>
  <si>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</si>
  <si>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</si>
  <si>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</si>
  <si>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</si>
  <si>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</si>
  <si>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</si>
  <si>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</si>
  <si>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</si>
  <si>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</si>
  <si>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</si>
  <si>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</si>
  <si>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</si>
  <si>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</si>
  <si>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</si>
  <si>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</si>
  <si>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</si>
  <si>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</si>
  <si>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</si>
  <si>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</si>
  <si>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</si>
  <si>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</si>
  <si>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</si>
  <si>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</si>
  <si>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</si>
  <si>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</si>
  <si>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</si>
  <si>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</si>
  <si>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</si>
  <si>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</si>
  <si>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</si>
  <si>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</si>
  <si>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</si>
  <si>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</si>
  <si>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</si>
  <si>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</si>
  <si>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</si>
  <si>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</si>
  <si>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</si>
  <si>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</si>
  <si>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</si>
  <si>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</si>
  <si>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</si>
  <si>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</si>
  <si>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</si>
  <si>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</si>
  <si>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</si>
  <si>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</si>
  <si>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</si>
  <si>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</si>
  <si>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</si>
  <si>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</si>
  <si>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</si>
  <si>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</si>
  <si>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</si>
  <si>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</si>
  <si>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</si>
  <si>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</si>
  <si>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</si>
  <si>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</si>
  <si>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</si>
  <si>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</si>
  <si>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</si>
  <si>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</si>
  <si>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</si>
  <si>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</si>
  <si>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</si>
  <si>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</si>
  <si>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</si>
  <si>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</si>
  <si>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</si>
  <si>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</si>
  <si>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</si>
  <si>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</si>
  <si>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</si>
  <si>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</si>
  <si>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</si>
  <si>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</si>
  <si>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</si>
  <si>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</si>
  <si>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</si>
  <si>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</si>
  <si>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</si>
  <si>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</si>
  <si>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</si>
  <si>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</si>
  <si>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</si>
  <si>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</si>
  <si>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</si>
  <si>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</si>
  <si>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</si>
  <si>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</si>
  <si>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</si>
  <si>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</si>
  <si>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</si>
  <si>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</si>
  <si>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</si>
  <si>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</si>
  <si>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</si>
  <si>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</si>
  <si>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</si>
  <si>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</si>
  <si>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</si>
  <si>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</si>
  <si>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</si>
  <si>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</si>
  <si>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</si>
  <si>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</si>
  <si>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</si>
  <si>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</si>
  <si>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</si>
  <si>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</si>
  <si>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</si>
  <si>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</si>
  <si>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</si>
  <si>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</si>
  <si>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</si>
  <si>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</si>
  <si>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</si>
  <si>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</si>
  <si>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</si>
  <si>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</si>
  <si>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</si>
  <si>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</si>
  <si>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</si>
  <si>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</si>
  <si>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</si>
  <si>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</si>
  <si>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</si>
  <si>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</si>
  <si>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</si>
  <si>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</si>
  <si>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</si>
  <si>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</si>
  <si>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</si>
  <si>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</si>
  <si>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</si>
  <si>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</si>
  <si>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</si>
  <si>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</si>
  <si>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</si>
  <si>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</si>
  <si>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</si>
  <si>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</si>
  <si>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</si>
  <si>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</si>
  <si>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</si>
  <si>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</si>
  <si>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</si>
  <si>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</si>
  <si>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</si>
  <si>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</si>
  <si>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</si>
  <si>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</si>
  <si>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</si>
  <si>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</si>
  <si>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</si>
  <si>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</si>
  <si>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</si>
  <si>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</si>
  <si>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</si>
  <si>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</si>
  <si>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</si>
  <si>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</si>
  <si>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</si>
  <si>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</si>
  <si>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</si>
  <si>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</si>
  <si>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</si>
  <si>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</si>
  <si>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</si>
  <si>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</si>
  <si>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</si>
  <si>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</si>
  <si>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</si>
  <si>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</si>
  <si>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</si>
  <si>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</si>
  <si>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</si>
  <si>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</si>
  <si>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</si>
  <si>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</si>
  <si>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</si>
  <si>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</si>
  <si>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</si>
  <si>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</si>
  <si>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</si>
  <si>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</si>
  <si>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</si>
  <si>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</si>
  <si>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</si>
  <si>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</si>
  <si>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</si>
  <si>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</si>
  <si>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</si>
  <si>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</si>
  <si>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</si>
  <si>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</si>
  <si>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</si>
  <si>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</si>
  <si>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</si>
  <si>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</si>
  <si>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</si>
  <si>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</si>
  <si>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</si>
  <si>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</si>
  <si>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</si>
  <si>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</si>
  <si>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</si>
  <si>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</si>
  <si>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</si>
  <si>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</si>
  <si>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</si>
  <si>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</si>
  <si>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</si>
  <si>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</si>
  <si>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</si>
  <si>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</si>
  <si>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</si>
  <si>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</si>
  <si>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</si>
  <si>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</si>
  <si>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</si>
  <si>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</si>
  <si>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</si>
  <si>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</si>
  <si>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</si>
  <si>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</si>
  <si>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</si>
  <si>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</si>
  <si>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</si>
  <si>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</si>
  <si>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</si>
  <si>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</si>
  <si>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</si>
  <si>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</si>
  <si>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</si>
  <si>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</si>
  <si>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</si>
  <si>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</si>
  <si>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</si>
  <si>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</si>
  <si>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</si>
  <si>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</si>
  <si>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</si>
  <si>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</si>
  <si>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</si>
  <si>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</si>
  <si>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</si>
  <si>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</si>
  <si>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</si>
  <si>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</si>
  <si>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</si>
  <si>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</si>
  <si>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</si>
  <si>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</si>
  <si>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</si>
  <si>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</si>
  <si>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</si>
  <si>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</si>
  <si>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</si>
  <si>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</si>
  <si>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</si>
  <si>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</si>
  <si>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</si>
  <si>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</si>
  <si>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</si>
  <si>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</si>
  <si>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</si>
  <si>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</si>
  <si>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</si>
  <si>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</si>
  <si>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</si>
  <si>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</si>
  <si>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</si>
  <si>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</si>
  <si>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</si>
  <si>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</si>
  <si>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</si>
  <si>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</si>
  <si>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</si>
  <si>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</si>
  <si>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</si>
  <si>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</si>
  <si>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</si>
  <si>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</si>
  <si>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</si>
  <si>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</si>
  <si>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</si>
  <si>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</si>
  <si>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</si>
  <si>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</si>
  <si>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</si>
  <si>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</si>
  <si>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</si>
  <si>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</si>
  <si>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</si>
  <si>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</si>
  <si>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</si>
  <si>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</si>
  <si>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</si>
  <si>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</si>
  <si>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</si>
  <si>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</si>
  <si>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</si>
  <si>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</si>
  <si>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</si>
  <si>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</si>
  <si>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</si>
  <si>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</si>
  <si>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</si>
  <si>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</si>
  <si>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</si>
  <si>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</si>
  <si>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</si>
  <si>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</si>
  <si>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</si>
  <si>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</si>
  <si>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</si>
  <si>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</si>
  <si>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</si>
  <si>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</si>
  <si>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</si>
  <si>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</si>
  <si>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</si>
  <si>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</si>
  <si>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</si>
  <si>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</si>
  <si>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</si>
  <si>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</si>
  <si>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</si>
  <si>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</si>
  <si>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</si>
  <si>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</si>
  <si>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</si>
  <si>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</si>
  <si>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</si>
  <si>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</si>
  <si>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</si>
  <si>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</si>
  <si>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</si>
  <si>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</si>
  <si>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</si>
  <si>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</si>
  <si>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</si>
  <si>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</si>
  <si>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</si>
  <si>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</si>
  <si>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</si>
  <si>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</si>
  <si>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</si>
  <si>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</si>
  <si>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</si>
  <si>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</si>
  <si>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</si>
  <si>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</si>
  <si>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</si>
  <si>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</si>
  <si>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</si>
  <si>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</si>
  <si>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</si>
  <si>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</si>
  <si>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</si>
  <si>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</si>
  <si>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</si>
  <si>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</si>
  <si>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</si>
  <si>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</si>
  <si>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</si>
  <si>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</si>
  <si>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</si>
  <si>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</si>
  <si>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</si>
  <si>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</si>
  <si>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</si>
  <si>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</si>
  <si>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</si>
  <si>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</si>
  <si>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</si>
  <si>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</si>
  <si>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</si>
  <si>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</si>
  <si>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</si>
  <si>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</si>
  <si>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</si>
  <si>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</si>
  <si>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</si>
  <si>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</si>
  <si>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</si>
  <si>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</si>
  <si>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</si>
  <si>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</si>
  <si>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</si>
  <si>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</si>
  <si>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</si>
  <si>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</si>
  <si>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</si>
  <si>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</si>
  <si>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</si>
  <si>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</si>
  <si>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</si>
  <si>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</si>
  <si>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</si>
  <si>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</si>
  <si>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</si>
  <si>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</si>
  <si>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</si>
  <si>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</si>
  <si>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</si>
  <si>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</si>
  <si>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</si>
  <si>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</si>
  <si>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</si>
  <si>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</si>
  <si>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</si>
  <si>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</si>
  <si>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</si>
  <si>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</si>
  <si>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</si>
  <si>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</si>
  <si>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</si>
  <si>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</si>
  <si>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</si>
  <si>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</si>
  <si>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</si>
  <si>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</si>
  <si>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</si>
  <si>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</si>
  <si>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</si>
  <si>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</si>
  <si>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</si>
  <si>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</si>
  <si>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</si>
  <si>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</si>
  <si>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</si>
  <si>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</si>
  <si>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</si>
  <si>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</si>
  <si>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</si>
  <si>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</si>
  <si>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</si>
  <si>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</si>
  <si>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</si>
  <si>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</si>
  <si>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</si>
  <si>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</si>
  <si>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</si>
  <si>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</si>
  <si>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</si>
  <si>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</si>
  <si>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</si>
  <si>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</si>
  <si>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</si>
  <si>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</si>
  <si>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</si>
  <si>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</si>
  <si>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</si>
  <si>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</si>
  <si>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</si>
  <si>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</si>
  <si>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</si>
  <si>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</si>
  <si>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</si>
  <si>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</si>
  <si>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</si>
  <si>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</si>
  <si>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</si>
  <si>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</si>
  <si>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</si>
  <si>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</si>
  <si>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</si>
  <si>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</si>
  <si>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</si>
  <si>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</si>
  <si>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</si>
  <si>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</si>
  <si>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</si>
  <si>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</si>
  <si>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</si>
  <si>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</si>
  <si>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</si>
  <si>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</si>
  <si>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</si>
  <si>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</si>
  <si>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</si>
  <si>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</si>
  <si>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</si>
  <si>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</si>
  <si>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</si>
  <si>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</si>
  <si>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</si>
  <si>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</si>
  <si>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</si>
  <si>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</si>
  <si>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</si>
  <si>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</si>
  <si>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</si>
  <si>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</si>
  <si>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</si>
  <si>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</si>
  <si>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</si>
  <si>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</si>
  <si>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</si>
  <si>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</si>
  <si>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</si>
  <si>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</si>
  <si>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</si>
  <si>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</si>
  <si>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</si>
  <si>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</si>
  <si>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</si>
  <si>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</si>
  <si>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</si>
  <si>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</si>
  <si>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</si>
  <si>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</si>
  <si>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</si>
  <si>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</si>
  <si>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</si>
  <si>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</si>
  <si>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</si>
  <si>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</si>
  <si>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</si>
  <si>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</si>
  <si>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</si>
  <si>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</si>
  <si>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</si>
  <si>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</si>
  <si>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</si>
  <si>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</si>
  <si>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</si>
  <si>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</si>
  <si>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</si>
  <si>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</si>
  <si>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</si>
  <si>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</si>
  <si>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</si>
  <si>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</si>
  <si>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</si>
  <si>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</si>
  <si>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</si>
  <si>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</si>
  <si>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</si>
  <si>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</si>
  <si>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</si>
  <si>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</si>
  <si>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</si>
  <si>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</si>
  <si>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</si>
  <si>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</si>
  <si>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</si>
  <si>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</si>
  <si>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</si>
  <si>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</si>
  <si>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</si>
  <si>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</si>
  <si>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</si>
  <si>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</si>
  <si>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</si>
  <si>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</si>
  <si>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</si>
  <si>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</si>
  <si>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</si>
  <si>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</si>
  <si>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</si>
  <si>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</si>
  <si>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</si>
  <si>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</si>
  <si>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</si>
  <si>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</si>
  <si>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</si>
  <si>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</si>
  <si>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</si>
  <si>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</si>
  <si>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</si>
  <si>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</si>
  <si>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</si>
  <si>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</si>
  <si>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</si>
  <si>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</si>
  <si>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</si>
  <si>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</si>
  <si>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</si>
  <si>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</si>
  <si>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</si>
  <si>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</si>
  <si>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</si>
  <si>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</si>
  <si>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</si>
  <si>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</si>
  <si>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</si>
  <si>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</si>
  <si>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</si>
  <si>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</si>
  <si>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</si>
  <si>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</si>
  <si>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</si>
  <si>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</si>
  <si>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</si>
  <si>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</si>
  <si>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</si>
  <si>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</si>
  <si>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</si>
  <si>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</si>
  <si>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</si>
  <si>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</si>
  <si>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</si>
  <si>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</si>
  <si>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</si>
  <si>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</si>
  <si>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</si>
  <si>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</si>
  <si>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</si>
  <si>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</si>
  <si>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</si>
  <si>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</si>
  <si>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</si>
  <si>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</si>
  <si>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</si>
  <si>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</si>
  <si>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</si>
  <si>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</si>
  <si>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</si>
  <si>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</si>
  <si>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</si>
  <si>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</si>
  <si>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</si>
  <si>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</si>
  <si>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</si>
  <si>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</si>
  <si>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</si>
  <si>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</si>
  <si>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</si>
  <si>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</si>
  <si>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</si>
  <si>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</si>
  <si>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</si>
  <si>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</si>
  <si>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</si>
  <si>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</si>
  <si>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</si>
  <si>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</si>
  <si>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</si>
  <si>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</si>
  <si>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</si>
  <si>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</si>
  <si>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</si>
  <si>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</si>
  <si>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</si>
  <si>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</si>
  <si>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</si>
  <si>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</si>
  <si>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</si>
  <si>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</si>
  <si>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</si>
  <si>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</si>
  <si>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</si>
  <si>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</si>
  <si>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</si>
  <si>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</si>
  <si>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</si>
  <si>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</si>
  <si>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</si>
  <si>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</si>
  <si>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</si>
  <si>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</si>
  <si>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</si>
  <si>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</si>
  <si>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</si>
  <si>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</si>
  <si>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</si>
  <si>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</si>
  <si>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</si>
  <si>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</si>
  <si>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</si>
  <si>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</si>
  <si>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</si>
  <si>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</si>
  <si>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</si>
  <si>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</si>
  <si>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</si>
  <si>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</si>
  <si>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</si>
  <si>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</si>
  <si>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</si>
  <si>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</si>
  <si>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</si>
  <si>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</si>
  <si>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</si>
  <si>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</si>
  <si>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</si>
  <si>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</si>
  <si>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</si>
  <si>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</si>
  <si>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</si>
  <si>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</si>
  <si>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</si>
  <si>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</si>
  <si>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</si>
  <si>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</si>
  <si>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</si>
  <si>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</si>
  <si>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</si>
  <si>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</si>
  <si>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</si>
  <si>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</si>
  <si>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</si>
  <si>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</si>
  <si>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</si>
  <si>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</si>
  <si>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</si>
  <si>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</si>
  <si>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</si>
  <si>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</si>
  <si>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</si>
  <si>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</si>
  <si>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</si>
  <si>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</si>
  <si>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</si>
  <si>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</si>
  <si>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</si>
  <si>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</si>
  <si>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</si>
  <si>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</si>
  <si>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</si>
  <si>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</si>
  <si>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</si>
  <si>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</si>
  <si>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</si>
  <si>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</si>
  <si>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</si>
  <si>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</si>
  <si>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</si>
  <si>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</si>
  <si>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</si>
  <si>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</si>
  <si>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</si>
  <si>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</si>
  <si>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</si>
  <si>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</si>
  <si>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</si>
  <si>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</si>
  <si>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</si>
  <si>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</si>
  <si>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</si>
  <si>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</si>
  <si>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</si>
  <si>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</si>
  <si>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</si>
  <si>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</si>
  <si>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</si>
  <si>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</si>
  <si>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</si>
  <si>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</si>
  <si>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</si>
  <si>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</si>
  <si>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</si>
  <si>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</si>
  <si>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</si>
  <si>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</si>
  <si>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</si>
  <si>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</si>
  <si>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</si>
  <si>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</si>
  <si>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</si>
  <si>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</si>
  <si>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</si>
  <si>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</si>
  <si>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</si>
  <si>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</si>
  <si>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</si>
  <si>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</si>
  <si>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</si>
  <si>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</si>
  <si>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</si>
  <si>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</si>
  <si>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</si>
  <si>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</si>
  <si>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</si>
  <si>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</si>
  <si>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</si>
  <si>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</si>
  <si>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</si>
  <si>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</si>
  <si>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</si>
  <si>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</si>
  <si>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</si>
  <si>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</si>
  <si>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</si>
  <si>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</si>
  <si>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</si>
  <si>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</si>
  <si>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</si>
  <si>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</si>
  <si>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</si>
  <si>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</si>
  <si>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</si>
  <si>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</si>
  <si>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</si>
  <si>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</si>
  <si>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</si>
  <si>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</si>
  <si>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</si>
  <si>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Office of Emergency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</si>
</sst>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Budget-Account\ACCOUNT\YEAREND\GASB%2087\FY%2023-24\GASB%2087%20Fund%209751%20FY%2023-24%20Lessor\GASB_87_Annual_Reporting_Submission_Workbook%20Final.xlsx" TargetMode="External"/><Relationship Id="rId1" Type="http://schemas.openxmlformats.org/officeDocument/2006/relationships/externalLinkPath" Target="file:///S:\Budget-Account\ACCOUNT\YEAREND\GASB%2087\FY%2023-24\GASB%2087%20Fund%209751%20FY%2023-24%20Lessor\GASB_87_Annual_Reporting_Submission_Workbook%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87" zoomScaleNormal="87" workbookViewId="0">
      <selection activeCell="M8" sqref="M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359</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66310173</v>
      </c>
      <c r="M17" s="143">
        <v>66310173</v>
      </c>
      <c r="P17" s="143">
        <v>69455535</v>
      </c>
      <c r="Q17" s="155"/>
      <c r="S17" s="154">
        <f t="shared" si="0"/>
        <v>3145362</v>
      </c>
      <c r="T17" s="180" t="s">
        <v>1684</v>
      </c>
    </row>
    <row r="18" spans="1:20" ht="16.5" customHeight="1" x14ac:dyDescent="0.25">
      <c r="A18" s="54"/>
      <c r="B18" s="9" t="s">
        <v>168</v>
      </c>
      <c r="C18" s="9"/>
      <c r="D18" s="9"/>
      <c r="E18" s="140"/>
      <c r="F18" s="141"/>
      <c r="G18" s="141"/>
      <c r="H18" s="142"/>
      <c r="I18" s="142"/>
      <c r="J18" s="178">
        <f>P18</f>
        <v>1592602</v>
      </c>
      <c r="M18" s="143">
        <v>1670693</v>
      </c>
      <c r="P18" s="152">
        <f>IF(SUM($Q$20:$Q$23)&gt;SUM($P$15:$P$17),SUM($Q$20:$Q$23)-SUM($P$15:$P$17),0)</f>
        <v>1592602</v>
      </c>
      <c r="Q18" s="155"/>
      <c r="S18" s="154">
        <f t="shared" si="0"/>
        <v>-78091</v>
      </c>
      <c r="T18" s="179" t="s">
        <v>1668</v>
      </c>
    </row>
    <row r="19" spans="1:20" ht="16.5" customHeight="1" x14ac:dyDescent="0.25">
      <c r="A19" s="54"/>
      <c r="B19" s="9" t="s">
        <v>169</v>
      </c>
      <c r="C19" s="9"/>
      <c r="D19" s="9"/>
      <c r="E19" s="140"/>
      <c r="F19" s="141"/>
      <c r="G19" s="141"/>
      <c r="H19" s="142"/>
      <c r="I19" s="142"/>
      <c r="J19" s="178">
        <f>IF(SUM($K$20:$K$24)&gt;SUM($J$15:$J$18),SUM($K$20:$K$24)-SUM($J$15:$J$18),0)</f>
        <v>78086</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15836796</v>
      </c>
      <c r="N22" s="143">
        <v>15836796</v>
      </c>
      <c r="P22" s="155"/>
      <c r="Q22" s="143">
        <v>15967853</v>
      </c>
      <c r="S22" s="154">
        <f t="shared" ref="S22:S25" si="1">Q22-N22</f>
        <v>131057</v>
      </c>
      <c r="T22" s="179" t="s">
        <v>1668</v>
      </c>
    </row>
    <row r="23" spans="1:20" ht="16.5" customHeight="1" x14ac:dyDescent="0.25">
      <c r="A23" s="165" t="s">
        <v>1645</v>
      </c>
      <c r="B23" s="9"/>
      <c r="C23" s="9" t="s">
        <v>173</v>
      </c>
      <c r="D23" s="9"/>
      <c r="E23" s="140"/>
      <c r="F23" s="141"/>
      <c r="G23" s="141"/>
      <c r="H23" s="142"/>
      <c r="I23" s="142"/>
      <c r="J23" s="150"/>
      <c r="K23" s="178">
        <f>N23</f>
        <v>52144065</v>
      </c>
      <c r="N23" s="143">
        <v>52144065</v>
      </c>
      <c r="P23" s="155"/>
      <c r="Q23" s="143">
        <v>55080284</v>
      </c>
      <c r="S23" s="154">
        <f t="shared" si="1"/>
        <v>2936219</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67980861</v>
      </c>
      <c r="K26" s="107">
        <f>SUM(K15:K25)</f>
        <v>67980861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34337761</v>
      </c>
      <c r="K33" s="144"/>
    </row>
    <row r="34" spans="1:12" ht="16.5" customHeight="1" x14ac:dyDescent="0.25">
      <c r="A34" s="54"/>
      <c r="B34" s="9"/>
      <c r="C34" s="9" t="s">
        <v>1673</v>
      </c>
      <c r="D34" s="140"/>
      <c r="E34" s="140"/>
      <c r="F34" s="141"/>
      <c r="G34" s="141"/>
      <c r="H34" s="142"/>
      <c r="I34" s="142"/>
      <c r="J34" s="144"/>
      <c r="K34" s="143">
        <v>34337761</v>
      </c>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34337761</v>
      </c>
      <c r="K36" s="107">
        <f>SUM(K33:K35)</f>
        <v>34337761</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34337761</v>
      </c>
      <c r="K41" s="144"/>
    </row>
    <row r="42" spans="1:12" ht="16.5" customHeight="1" x14ac:dyDescent="0.25">
      <c r="A42" s="54"/>
      <c r="B42" s="9"/>
      <c r="C42" s="9" t="s">
        <v>180</v>
      </c>
      <c r="D42" s="140"/>
      <c r="E42" s="140"/>
      <c r="F42" s="141"/>
      <c r="G42" s="141"/>
      <c r="H42" s="142"/>
      <c r="I42" s="142"/>
      <c r="J42" s="144"/>
      <c r="K42" s="143">
        <v>34337761</v>
      </c>
    </row>
    <row r="43" spans="1:12" ht="16.5" customHeight="1" x14ac:dyDescent="0.25">
      <c r="A43" s="54"/>
      <c r="B43" s="130" t="s">
        <v>1639</v>
      </c>
      <c r="C43" s="16"/>
      <c r="D43" s="16"/>
      <c r="E43" s="16"/>
      <c r="F43" s="17"/>
      <c r="G43" s="17"/>
      <c r="H43" s="18"/>
      <c r="I43" s="18"/>
      <c r="J43" s="107">
        <f>SUM(J39:J42)</f>
        <v>34337761</v>
      </c>
      <c r="K43" s="107">
        <f>SUM(K39:K42)</f>
        <v>34337761</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34337761</v>
      </c>
      <c r="K47" s="144"/>
    </row>
    <row r="48" spans="1:12" ht="16.5" customHeight="1" x14ac:dyDescent="0.25">
      <c r="A48" s="165" t="s">
        <v>1645</v>
      </c>
      <c r="B48" s="9"/>
      <c r="C48" s="9" t="s">
        <v>173</v>
      </c>
      <c r="D48" s="140"/>
      <c r="E48" s="140"/>
      <c r="F48" s="141"/>
      <c r="G48" s="141"/>
      <c r="H48" s="142"/>
      <c r="I48" s="142"/>
      <c r="J48" s="144"/>
      <c r="K48" s="143">
        <v>34337761</v>
      </c>
    </row>
    <row r="49" spans="1:16" ht="16.5" customHeight="1" x14ac:dyDescent="0.25">
      <c r="A49" s="54"/>
      <c r="C49" s="16"/>
      <c r="D49" s="16"/>
      <c r="E49" s="16"/>
      <c r="F49" s="17"/>
      <c r="G49" s="17"/>
      <c r="H49" s="18"/>
      <c r="I49" s="18"/>
      <c r="J49" s="107">
        <f>SUM(J47:J48)</f>
        <v>34337761</v>
      </c>
      <c r="K49" s="107">
        <f>SUM(K47:K48)</f>
        <v>34337761</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11545002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11545002</v>
      </c>
    </row>
    <row r="59" spans="1:16" ht="16.5" customHeight="1" x14ac:dyDescent="0.25">
      <c r="A59" s="54"/>
      <c r="C59" s="16"/>
      <c r="D59" s="16"/>
      <c r="E59" s="16"/>
      <c r="F59" s="17"/>
      <c r="G59" s="17"/>
      <c r="H59" s="18"/>
      <c r="I59" s="18"/>
      <c r="J59" s="107">
        <f>SUM(J55:J58)</f>
        <v>11545002</v>
      </c>
      <c r="K59" s="107">
        <f>SUM(K55:K58)</f>
        <v>11545002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9682260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1286189</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10968449</v>
      </c>
    </row>
    <row r="65" spans="1:12" ht="16.5" customHeight="1" x14ac:dyDescent="0.25">
      <c r="A65" s="54"/>
      <c r="C65" s="16"/>
      <c r="D65" s="16"/>
      <c r="E65" s="16"/>
      <c r="F65" s="17"/>
      <c r="G65" s="17"/>
      <c r="H65" s="18"/>
      <c r="I65" s="18"/>
      <c r="J65" s="107">
        <f>SUM(J62:J64)</f>
        <v>10968449</v>
      </c>
      <c r="K65" s="107">
        <f>SUM(K62:K64)</f>
        <v>10968449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9682260</v>
      </c>
      <c r="K68" s="144"/>
    </row>
    <row r="69" spans="1:12" ht="16.5" customHeight="1" x14ac:dyDescent="0.25">
      <c r="A69" s="54"/>
      <c r="B69" s="9"/>
      <c r="C69" s="9" t="s">
        <v>185</v>
      </c>
      <c r="D69" s="140"/>
      <c r="E69" s="140"/>
      <c r="F69" s="141"/>
      <c r="G69" s="141"/>
      <c r="H69" s="142"/>
      <c r="I69" s="142"/>
      <c r="J69" s="144"/>
      <c r="K69" s="143">
        <v>9682260</v>
      </c>
      <c r="L69" s="10" t="str">
        <f>IF($J$62=$K$69,"","&lt;- Accts 0848 must agree")</f>
        <v/>
      </c>
    </row>
    <row r="70" spans="1:12" ht="16.5" customHeight="1" x14ac:dyDescent="0.25">
      <c r="A70" s="54"/>
      <c r="C70" s="16"/>
      <c r="D70" s="16"/>
      <c r="E70" s="16"/>
      <c r="F70" s="17"/>
      <c r="G70" s="17"/>
      <c r="H70" s="18"/>
      <c r="I70" s="18"/>
      <c r="J70" s="107">
        <f>SUM(J68:J69)</f>
        <v>9682260</v>
      </c>
      <c r="K70" s="107">
        <f>SUM(K68:K69)</f>
        <v>9682260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9569360</v>
      </c>
      <c r="K75" s="144"/>
    </row>
    <row r="76" spans="1:12" ht="16.5" customHeight="1" x14ac:dyDescent="0.25">
      <c r="A76" s="54"/>
      <c r="B76" s="9"/>
      <c r="C76" s="9" t="s">
        <v>193</v>
      </c>
      <c r="D76" s="140"/>
      <c r="E76" s="140"/>
      <c r="F76" s="141"/>
      <c r="G76" s="141"/>
      <c r="H76" s="142"/>
      <c r="I76" s="142"/>
      <c r="J76" s="144"/>
      <c r="K76" s="143">
        <v>9569360</v>
      </c>
    </row>
    <row r="77" spans="1:12" ht="16.5" customHeight="1" x14ac:dyDescent="0.2">
      <c r="A77" s="54"/>
      <c r="B77" s="196" t="s">
        <v>1672</v>
      </c>
      <c r="C77" s="196"/>
      <c r="D77" s="196"/>
      <c r="E77" s="196"/>
      <c r="F77" s="196"/>
      <c r="G77" s="196"/>
      <c r="H77" s="196"/>
      <c r="I77" s="196"/>
      <c r="J77" s="107">
        <f>SUM(J75:J76)</f>
        <v>9569360</v>
      </c>
      <c r="K77" s="107">
        <f>SUM(K75:K76)</f>
        <v>9569360</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10018156</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10018156</v>
      </c>
    </row>
    <row r="91" spans="1:16" ht="16.5" customHeight="1" x14ac:dyDescent="0.25">
      <c r="B91" s="130" t="s">
        <v>1640</v>
      </c>
      <c r="H91" s="10"/>
      <c r="J91" s="108">
        <f>SUM(J85:J90)</f>
        <v>10018156</v>
      </c>
      <c r="K91" s="108">
        <f>SUM(K85:K90)</f>
        <v>10018156</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228172</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120274</v>
      </c>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340776</v>
      </c>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v>7670</v>
      </c>
    </row>
    <row r="105" spans="1:12" ht="16.5" customHeight="1" x14ac:dyDescent="0.25">
      <c r="B105" s="130" t="s">
        <v>1640</v>
      </c>
      <c r="H105" s="10"/>
      <c r="J105" s="108">
        <f>SUM(J96:J104)</f>
        <v>348446</v>
      </c>
      <c r="K105" s="108">
        <f>SUM(K96:K104)</f>
        <v>348446</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90289002</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-17243368</v>
      </c>
    </row>
    <row r="128" spans="1:12" ht="16.5" customHeight="1" x14ac:dyDescent="0.25">
      <c r="D128" s="140" t="s">
        <v>1656</v>
      </c>
      <c r="H128" s="10"/>
      <c r="K128" s="169">
        <f>-K23-K48+J68+J75+J96-K113</f>
        <v>-67002034</v>
      </c>
    </row>
    <row r="129" spans="4:11" ht="16.5" customHeight="1" x14ac:dyDescent="0.25">
      <c r="D129" s="140" t="s">
        <v>1657</v>
      </c>
      <c r="H129" s="10"/>
      <c r="K129" s="169">
        <f>-K76</f>
        <v>-9569360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9567-ECC8-4D7C-A8A1-3A885A03C9B6}">
  <sheetPr>
    <tabColor theme="9" tint="0.59999389629810485"/>
    <pageSetUpPr fitToPage="1"/>
  </sheetPr>
  <dimension ref="A1:T193"/>
  <sheetViews>
    <sheetView topLeftCell="A7" zoomScale="70" zoomScaleNormal="70" workbookViewId="0">
      <selection activeCell="A23" sqref="A23:XFD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359</v>
      </c>
      <c r="G5" s="191"/>
      <c r="H5" s="191"/>
      <c r="I5" s="191"/>
      <c r="L5" s="12"/>
      <c r="M5" s="12"/>
      <c r="N5" s="12"/>
      <c r="O5" s="12"/>
      <c r="P5" s="12"/>
      <c r="Q5" s="12"/>
    </row>
    <row r="6" spans="1:20" ht="16.5" customHeight="1" x14ac:dyDescent="0.25">
      <c r="A6" s="189" t="s">
        <v>1634</v>
      </c>
      <c r="B6" s="189"/>
      <c r="C6" s="189"/>
      <c r="D6" s="189"/>
      <c r="E6" s="189"/>
      <c r="F6" s="192">
        <v>9751</v>
      </c>
      <c r="G6" s="192"/>
      <c r="H6" s="192"/>
      <c r="I6" s="192"/>
      <c r="L6" s="13"/>
      <c r="M6" s="13"/>
      <c r="N6" s="13"/>
      <c r="O6" s="13"/>
      <c r="P6" s="12"/>
      <c r="Q6" s="12"/>
    </row>
    <row r="7" spans="1:20" ht="16.5" customHeight="1" x14ac:dyDescent="0.25">
      <c r="A7" s="189" t="s">
        <v>1</v>
      </c>
      <c r="B7" s="189"/>
      <c r="C7" s="189"/>
      <c r="D7" s="189"/>
      <c r="E7" s="189"/>
      <c r="F7" s="192" t="s">
        <v>121</v>
      </c>
      <c r="G7" s="192"/>
      <c r="H7" s="192"/>
      <c r="I7" s="192"/>
      <c r="K7" s="53"/>
      <c r="L7" s="13"/>
      <c r="M7" s="13"/>
      <c r="N7" s="13"/>
      <c r="O7" s="13"/>
      <c r="P7" s="12"/>
      <c r="Q7" s="12"/>
    </row>
    <row r="8" spans="1:20" ht="16.5" customHeight="1" x14ac:dyDescent="0.25">
      <c r="A8" s="189" t="s">
        <v>1616</v>
      </c>
      <c r="B8" s="189"/>
      <c r="C8" s="189"/>
      <c r="D8" s="189"/>
      <c r="E8" s="189"/>
      <c r="F8" s="192" t="s">
        <v>131</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Fund",VLOOKUP(F5,[2]qryIndex02a!$A$2:$K$654,4,FALSE)),"Unidentified")</f>
        <v>Proprietary Fund</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3716688</v>
      </c>
      <c r="M15" s="143">
        <v>3716688</v>
      </c>
      <c r="P15" s="143">
        <v>2119584</v>
      </c>
      <c r="Q15" s="155"/>
      <c r="S15" s="154">
        <f t="shared" ref="S15:S19" si="0">P15-M15</f>
        <v>-1597104</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64650436</v>
      </c>
      <c r="M17" s="143">
        <v>64650436</v>
      </c>
      <c r="P17" s="143">
        <v>58788637</v>
      </c>
      <c r="Q17" s="155"/>
      <c r="S17" s="154">
        <f t="shared" si="0"/>
        <v>-5861799</v>
      </c>
      <c r="T17" s="180" t="s">
        <v>1684</v>
      </c>
    </row>
    <row r="18" spans="1:20" ht="16.5" customHeight="1" x14ac:dyDescent="0.25">
      <c r="A18" s="54"/>
      <c r="B18" s="9" t="s">
        <v>168</v>
      </c>
      <c r="C18" s="9"/>
      <c r="D18" s="9"/>
      <c r="E18" s="140"/>
      <c r="F18" s="141"/>
      <c r="G18" s="141"/>
      <c r="H18" s="142"/>
      <c r="I18" s="142"/>
      <c r="J18" s="178">
        <f>P18</f>
        <v>2028024</v>
      </c>
      <c r="M18" s="143">
        <v>2327076</v>
      </c>
      <c r="P18" s="152">
        <f>IF(SUM($Q$20:$Q$23)&gt;SUM($P$15:$P$17),SUM($Q$20:$Q$23)-SUM($P$15:$P$17),0)</f>
        <v>2028024</v>
      </c>
      <c r="Q18" s="155"/>
      <c r="S18" s="154">
        <f t="shared" si="0"/>
        <v>-299052</v>
      </c>
      <c r="T18" s="179" t="s">
        <v>1668</v>
      </c>
    </row>
    <row r="19" spans="1:20" ht="16.5" customHeight="1" x14ac:dyDescent="0.25">
      <c r="A19" s="54"/>
      <c r="B19" s="9" t="s">
        <v>169</v>
      </c>
      <c r="C19" s="9"/>
      <c r="D19" s="9"/>
      <c r="E19" s="140"/>
      <c r="F19" s="141"/>
      <c r="G19" s="141"/>
      <c r="H19" s="142"/>
      <c r="I19" s="142"/>
      <c r="J19" s="178">
        <f>IF(SUM($K$20:$K$24)&gt;SUM($J$15:$J$18),SUM($K$20:$K$24)-SUM($J$15:$J$18),0)</f>
        <v>279072</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347360</v>
      </c>
      <c r="N20" s="143">
        <v>347360</v>
      </c>
      <c r="P20" s="155"/>
      <c r="Q20" s="143">
        <v>147275</v>
      </c>
      <c r="S20" s="154">
        <f>Q20-N20</f>
        <v>-200085</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12821345</v>
      </c>
      <c r="N22" s="143">
        <v>12821345</v>
      </c>
      <c r="P22" s="155"/>
      <c r="Q22" s="143">
        <v>13790702</v>
      </c>
      <c r="S22" s="154">
        <f t="shared" ref="S22:S25" si="1">Q22-N22</f>
        <v>969357</v>
      </c>
      <c r="T22" s="179" t="s">
        <v>1668</v>
      </c>
    </row>
    <row r="23" spans="1:20" ht="16.5" customHeight="1" x14ac:dyDescent="0.25">
      <c r="A23" s="165" t="s">
        <v>1645</v>
      </c>
      <c r="B23" s="9"/>
      <c r="C23" s="9" t="s">
        <v>173</v>
      </c>
      <c r="D23" s="9"/>
      <c r="E23" s="140"/>
      <c r="F23" s="141"/>
      <c r="G23" s="141"/>
      <c r="H23" s="142"/>
      <c r="I23" s="142"/>
      <c r="J23" s="150"/>
      <c r="K23" s="178">
        <f>N23</f>
        <v>57505515</v>
      </c>
      <c r="N23" s="143">
        <v>57505515</v>
      </c>
      <c r="P23" s="155"/>
      <c r="Q23" s="143">
        <v>48998268</v>
      </c>
      <c r="S23" s="154">
        <f t="shared" si="1"/>
        <v>-8507247</v>
      </c>
      <c r="T23" s="179" t="s">
        <v>1668</v>
      </c>
    </row>
    <row r="24" spans="1:20" ht="16.5" customHeight="1" x14ac:dyDescent="0.25">
      <c r="A24" s="54"/>
      <c r="B24" s="9"/>
      <c r="C24" s="9" t="s">
        <v>175</v>
      </c>
      <c r="D24" s="9"/>
      <c r="E24" s="140"/>
      <c r="F24" s="141"/>
      <c r="G24" s="141"/>
      <c r="H24" s="142"/>
      <c r="I24" s="142"/>
      <c r="J24" s="150"/>
      <c r="K24" s="178">
        <f>Q24</f>
        <v>0</v>
      </c>
      <c r="N24" s="143">
        <v>19983</v>
      </c>
      <c r="P24" s="155"/>
      <c r="Q24" s="152">
        <f>IF(SUM($Q$20:$Q$23)&lt;SUM($P$15:$P$17),-SUM($Q$20:$Q$23)+SUM($P$15:$P$17),0)</f>
        <v>0</v>
      </c>
      <c r="S24" s="154">
        <f t="shared" si="1"/>
        <v>-19983</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70674220</v>
      </c>
      <c r="K26" s="107">
        <f>SUM(K15:K25)</f>
        <v>70674220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5534037</v>
      </c>
      <c r="K33" s="144"/>
    </row>
    <row r="34" spans="1:12" ht="16.5" customHeight="1" x14ac:dyDescent="0.25">
      <c r="A34" s="54"/>
      <c r="B34" s="9"/>
      <c r="C34" s="9" t="s">
        <v>1673</v>
      </c>
      <c r="D34" s="140"/>
      <c r="E34" s="140"/>
      <c r="F34" s="141"/>
      <c r="G34" s="141"/>
      <c r="H34" s="142"/>
      <c r="I34" s="142"/>
      <c r="J34" s="144"/>
      <c r="K34" s="143">
        <v>5534037</v>
      </c>
    </row>
    <row r="35" spans="1:12" ht="16.5" customHeight="1" x14ac:dyDescent="0.25">
      <c r="A35" s="54"/>
      <c r="B35" s="9"/>
      <c r="C35" s="9" t="str">
        <f>IF($F$7="Proprietary","Cr: Acct 0870 - SERVICES &amp; CHARGES (MG ADJ)",VLOOKUP($F$9,'[2]Drop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5534037</v>
      </c>
      <c r="K36" s="107">
        <f>SUM(K33:K35)</f>
        <v>5534037</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5534037</v>
      </c>
      <c r="K41" s="144"/>
    </row>
    <row r="42" spans="1:12" ht="16.5" customHeight="1" x14ac:dyDescent="0.25">
      <c r="A42" s="54"/>
      <c r="B42" s="9"/>
      <c r="C42" s="9" t="s">
        <v>180</v>
      </c>
      <c r="D42" s="140"/>
      <c r="E42" s="140"/>
      <c r="F42" s="141"/>
      <c r="G42" s="141"/>
      <c r="H42" s="142"/>
      <c r="I42" s="142"/>
      <c r="J42" s="144"/>
      <c r="K42" s="143">
        <v>5534037</v>
      </c>
    </row>
    <row r="43" spans="1:12" ht="16.5" customHeight="1" x14ac:dyDescent="0.25">
      <c r="A43" s="54"/>
      <c r="B43" s="130" t="s">
        <v>1639</v>
      </c>
      <c r="C43" s="16"/>
      <c r="D43" s="16"/>
      <c r="E43" s="16"/>
      <c r="F43" s="17"/>
      <c r="G43" s="17"/>
      <c r="H43" s="18"/>
      <c r="I43" s="18"/>
      <c r="J43" s="107">
        <f>SUM(J39:J42)</f>
        <v>5534037</v>
      </c>
      <c r="K43" s="107">
        <f>SUM(K39:K42)</f>
        <v>5534037</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5534037</v>
      </c>
      <c r="K47" s="144"/>
    </row>
    <row r="48" spans="1:12" ht="16.5" customHeight="1" x14ac:dyDescent="0.25">
      <c r="A48" s="165" t="s">
        <v>1645</v>
      </c>
      <c r="B48" s="9"/>
      <c r="C48" s="9" t="s">
        <v>173</v>
      </c>
      <c r="D48" s="140"/>
      <c r="E48" s="140"/>
      <c r="F48" s="141"/>
      <c r="G48" s="141"/>
      <c r="H48" s="142"/>
      <c r="I48" s="142"/>
      <c r="J48" s="144"/>
      <c r="K48" s="143">
        <v>5534037</v>
      </c>
    </row>
    <row r="49" spans="1:16" ht="16.5" customHeight="1" x14ac:dyDescent="0.25">
      <c r="A49" s="54"/>
      <c r="C49" s="16"/>
      <c r="D49" s="16"/>
      <c r="E49" s="16"/>
      <c r="F49" s="17"/>
      <c r="G49" s="17"/>
      <c r="H49" s="18"/>
      <c r="I49" s="18"/>
      <c r="J49" s="107">
        <f>SUM(J47:J48)</f>
        <v>5534037</v>
      </c>
      <c r="K49" s="107">
        <f>SUM(K47:K48)</f>
        <v>5534037</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6978053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6978053</v>
      </c>
    </row>
    <row r="59" spans="1:16" ht="16.5" customHeight="1" x14ac:dyDescent="0.25">
      <c r="A59" s="54"/>
      <c r="C59" s="16"/>
      <c r="D59" s="16"/>
      <c r="E59" s="16"/>
      <c r="F59" s="17"/>
      <c r="G59" s="17"/>
      <c r="H59" s="18"/>
      <c r="I59" s="18"/>
      <c r="J59" s="107">
        <f>SUM(J55:J58)</f>
        <v>6978053</v>
      </c>
      <c r="K59" s="107">
        <f>SUM(K55:K58)</f>
        <v>6978053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6154736</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869181</v>
      </c>
      <c r="K63" s="147"/>
    </row>
    <row r="64" spans="1:16" ht="16.5" customHeight="1" x14ac:dyDescent="0.25">
      <c r="A64" s="54"/>
      <c r="B64" s="9"/>
      <c r="C64" s="9" t="str">
        <f>IF($F$7="Proprietary","Cr: Acct 0870 - SERVICES &amp; CHARGES (MG ADJ)",VLOOKUP($F$9,'[2]Drop Down Menus'!$F$2:$G$10,2,FALSE))</f>
        <v>Cr: Acct 0870 - SERVICES &amp; CHARGES (MG ADJ)</v>
      </c>
      <c r="D64" s="140"/>
      <c r="E64" s="140"/>
      <c r="F64" s="141"/>
      <c r="G64" s="141"/>
      <c r="H64" s="142"/>
      <c r="I64" s="142"/>
      <c r="J64" s="147"/>
      <c r="K64" s="143">
        <v>7023917</v>
      </c>
    </row>
    <row r="65" spans="1:12" ht="16.5" customHeight="1" x14ac:dyDescent="0.25">
      <c r="A65" s="54"/>
      <c r="C65" s="16"/>
      <c r="D65" s="16"/>
      <c r="E65" s="16"/>
      <c r="F65" s="17"/>
      <c r="G65" s="17"/>
      <c r="H65" s="18"/>
      <c r="I65" s="18"/>
      <c r="J65" s="107">
        <f>SUM(J62:J64)</f>
        <v>7023917</v>
      </c>
      <c r="K65" s="107">
        <f>SUM(K62:K64)</f>
        <v>7023917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6154736</v>
      </c>
      <c r="K68" s="144"/>
    </row>
    <row r="69" spans="1:12" ht="16.5" customHeight="1" x14ac:dyDescent="0.25">
      <c r="A69" s="54"/>
      <c r="B69" s="9"/>
      <c r="C69" s="9" t="s">
        <v>185</v>
      </c>
      <c r="D69" s="140"/>
      <c r="E69" s="140"/>
      <c r="F69" s="141"/>
      <c r="G69" s="141"/>
      <c r="H69" s="142"/>
      <c r="I69" s="142"/>
      <c r="J69" s="144"/>
      <c r="K69" s="143">
        <v>6154736</v>
      </c>
      <c r="L69" s="10" t="str">
        <f>IF($J$62=$K$69,"","&lt;- Accts 0848 must agree")</f>
        <v/>
      </c>
    </row>
    <row r="70" spans="1:12" ht="16.5" customHeight="1" x14ac:dyDescent="0.25">
      <c r="A70" s="54"/>
      <c r="C70" s="16"/>
      <c r="D70" s="16"/>
      <c r="E70" s="16"/>
      <c r="F70" s="17"/>
      <c r="G70" s="17"/>
      <c r="H70" s="18"/>
      <c r="I70" s="18"/>
      <c r="J70" s="107">
        <f>SUM(J68:J69)</f>
        <v>6154736</v>
      </c>
      <c r="K70" s="107">
        <f>SUM(K68:K69)</f>
        <v>6154736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6288081</v>
      </c>
      <c r="K75" s="144"/>
    </row>
    <row r="76" spans="1:12" ht="16.5" customHeight="1" x14ac:dyDescent="0.25">
      <c r="A76" s="54"/>
      <c r="B76" s="9"/>
      <c r="C76" s="9" t="s">
        <v>193</v>
      </c>
      <c r="D76" s="140"/>
      <c r="E76" s="140"/>
      <c r="F76" s="141"/>
      <c r="G76" s="141"/>
      <c r="H76" s="142"/>
      <c r="I76" s="142"/>
      <c r="J76" s="144"/>
      <c r="K76" s="143">
        <v>6288081</v>
      </c>
    </row>
    <row r="77" spans="1:12" ht="16.5" customHeight="1" x14ac:dyDescent="0.2">
      <c r="A77" s="54"/>
      <c r="B77" s="196" t="s">
        <v>1672</v>
      </c>
      <c r="C77" s="196"/>
      <c r="D77" s="196"/>
      <c r="E77" s="196"/>
      <c r="F77" s="196"/>
      <c r="G77" s="196"/>
      <c r="H77" s="196"/>
      <c r="I77" s="196"/>
      <c r="J77" s="107">
        <f>SUM(J75:J76)</f>
        <v>6288081</v>
      </c>
      <c r="K77" s="107">
        <f>SUM(K75:K76)</f>
        <v>6288081</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488974</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488974</v>
      </c>
    </row>
    <row r="91" spans="1:16" ht="16.5" customHeight="1" x14ac:dyDescent="0.25">
      <c r="B91" s="130" t="s">
        <v>1640</v>
      </c>
      <c r="H91" s="10"/>
      <c r="J91" s="108">
        <f>SUM(J85:J90)</f>
        <v>488974</v>
      </c>
      <c r="K91" s="108">
        <f>SUM(K85:K90)</f>
        <v>488974</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1176372</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305439</v>
      </c>
      <c r="K99" s="25"/>
    </row>
    <row r="100" spans="1:12" ht="16.5" customHeight="1" x14ac:dyDescent="0.2">
      <c r="B100" s="9" t="str">
        <f>IF($F$7="Proprietary","Dr: Acct 0870 - SERVICES &amp; CHARGES (MG ADJ)",VLOOKUP($F$9,'[2]Drop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1438106</v>
      </c>
    </row>
    <row r="104" spans="1:12" ht="16.5" customHeight="1" x14ac:dyDescent="0.2">
      <c r="B104" s="25"/>
      <c r="C104" s="9" t="str">
        <f>IF($F$7="Proprietary","Dr: Acct 0870 - SERVICES &amp; CHARGES (MG ADJ)",VLOOKUP($F$9,'[2]Drop Down Menus'!$F$2:$G$10,2,FALSE))</f>
        <v>Dr: Acct 0870 - SERVICES &amp; CHARGES (MG ADJ)</v>
      </c>
      <c r="D104" s="25"/>
      <c r="E104" s="25"/>
      <c r="F104" s="25"/>
      <c r="G104" s="25"/>
      <c r="H104" s="25"/>
      <c r="I104" s="25"/>
      <c r="J104" s="25"/>
      <c r="K104" s="143">
        <v>43705</v>
      </c>
    </row>
    <row r="105" spans="1:12" ht="16.5" customHeight="1" x14ac:dyDescent="0.25">
      <c r="B105" s="130" t="s">
        <v>1640</v>
      </c>
      <c r="H105" s="10"/>
      <c r="J105" s="108">
        <f>SUM(J96:J104)</f>
        <v>1481811</v>
      </c>
      <c r="K105" s="108">
        <f>SUM(K96:K104)</f>
        <v>1481811</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3716688</v>
      </c>
    </row>
    <row r="123" spans="1:12" ht="16.5" customHeight="1" x14ac:dyDescent="0.25">
      <c r="D123" s="140" t="s">
        <v>1651</v>
      </c>
      <c r="H123" s="10"/>
      <c r="K123" s="169">
        <f>J16+J40-K89-K102+J111</f>
        <v>0</v>
      </c>
    </row>
    <row r="124" spans="1:12" ht="16.5" customHeight="1" x14ac:dyDescent="0.25">
      <c r="D124" s="140" t="s">
        <v>1652</v>
      </c>
      <c r="H124" s="10"/>
      <c r="K124" s="169">
        <f>J17+J41-K90-K103+J112</f>
        <v>68257393</v>
      </c>
    </row>
    <row r="125" spans="1:12" ht="16.5" customHeight="1" x14ac:dyDescent="0.25">
      <c r="D125" s="140" t="s">
        <v>1653</v>
      </c>
      <c r="H125" s="10"/>
      <c r="K125" s="169">
        <f>-K20-K56+J85+J97</f>
        <v>-347360</v>
      </c>
    </row>
    <row r="126" spans="1:12" ht="16.5" customHeight="1" x14ac:dyDescent="0.25">
      <c r="D126" s="140" t="s">
        <v>1654</v>
      </c>
      <c r="H126" s="10"/>
      <c r="K126" s="169">
        <f>-K21-K57+J86+J98</f>
        <v>0</v>
      </c>
    </row>
    <row r="127" spans="1:12" ht="16.5" customHeight="1" x14ac:dyDescent="0.25">
      <c r="D127" s="140" t="s">
        <v>1655</v>
      </c>
      <c r="H127" s="10"/>
      <c r="K127" s="169">
        <f>-K22-K58+J87+J99</f>
        <v>-19004985</v>
      </c>
    </row>
    <row r="128" spans="1:12" ht="16.5" customHeight="1" x14ac:dyDescent="0.25">
      <c r="D128" s="140" t="s">
        <v>1656</v>
      </c>
      <c r="H128" s="10"/>
      <c r="K128" s="169">
        <f>-K23-K48+J68+J75+J96-K113</f>
        <v>-49420363</v>
      </c>
    </row>
    <row r="129" spans="4:11" ht="16.5" customHeight="1" x14ac:dyDescent="0.25">
      <c r="D129" s="140" t="s">
        <v>1657</v>
      </c>
      <c r="H129" s="10"/>
      <c r="K129" s="169">
        <f>-K76</f>
        <v>-6288081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ACF0B934-A7DA-4BC9-8EC3-346357B81BA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F527D9D-D688-466E-9E15-31478148B817}">
      <formula1>0</formula1>
    </dataValidation>
    <dataValidation operator="lessThan" allowBlank="1" showInputMessage="1" showErrorMessage="1" sqref="A3:A8" xr:uid="{09446421-31F2-463F-8E14-64924258F443}"/>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2" zoomScale="81" zoomScaleNormal="81" workbookViewId="0">
      <selection activeCell="C60" sqref="C59:C6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690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9569360</v>
      </c>
      <c r="C13" s="55">
        <v>1723489</v>
      </c>
      <c r="D13" s="200" t="s">
        <v>4</v>
      </c>
      <c r="E13" s="201"/>
      <c r="F13" s="201"/>
      <c r="G13" s="29"/>
      <c r="H13" s="29"/>
      <c r="I13" s="29"/>
      <c r="J13" s="29"/>
      <c r="K13" s="29"/>
      <c r="L13" s="29"/>
      <c r="M13" s="29"/>
    </row>
    <row r="14" spans="1:13" x14ac:dyDescent="0.2">
      <c r="A14" s="51" t="str">
        <f>LEFT(A13,4)+1&amp;"–"&amp;RIGHT(A13,4)+1</f>
        <v>2025–2026</v>
      </c>
      <c r="B14" s="55">
        <v>10042365</v>
      </c>
      <c r="C14" s="55">
        <v>1537404</v>
      </c>
      <c r="D14" s="200"/>
      <c r="E14" s="201"/>
      <c r="F14" s="201"/>
    </row>
    <row r="15" spans="1:13" ht="15.75" x14ac:dyDescent="0.2">
      <c r="A15" s="51" t="str">
        <f>LEFT(A14,4)+1&amp;"–"&amp;RIGHT(A14,4)+1</f>
        <v>2026–2027</v>
      </c>
      <c r="B15" s="55">
        <v>10531930</v>
      </c>
      <c r="C15" s="55">
        <v>1340507</v>
      </c>
      <c r="D15" s="197"/>
      <c r="E15" s="197"/>
      <c r="F15" s="197"/>
      <c r="G15" s="30"/>
      <c r="H15" s="30"/>
      <c r="I15" s="30"/>
      <c r="J15" s="30"/>
      <c r="K15" s="30"/>
      <c r="L15" s="30"/>
      <c r="M15" s="30"/>
    </row>
    <row r="16" spans="1:13" x14ac:dyDescent="0.2">
      <c r="A16" s="51" t="str">
        <f>LEFT(A15,4)+1&amp;"–"&amp;RIGHT(A15,4)+1</f>
        <v>2027–2028</v>
      </c>
      <c r="B16" s="55">
        <v>10253578</v>
      </c>
      <c r="C16" s="55">
        <v>1132647</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6813226</v>
      </c>
      <c r="C17" s="55">
        <v>939053</v>
      </c>
      <c r="D17" s="197"/>
      <c r="E17" s="197"/>
      <c r="F17" s="197"/>
      <c r="G17" s="31"/>
      <c r="H17" s="31"/>
      <c r="I17" s="31"/>
      <c r="J17" s="31"/>
      <c r="K17" s="31"/>
    </row>
    <row r="18" spans="1:13" ht="15" customHeight="1" x14ac:dyDescent="0.25">
      <c r="A18" s="51" t="str">
        <f>LEFT(A17,4)+1&amp;"–"&amp;RIGHT(A17,4)+5</f>
        <v>2029–2034</v>
      </c>
      <c r="B18" s="55">
        <v>27701973</v>
      </c>
      <c r="C18" s="55">
        <v>1965063</v>
      </c>
      <c r="D18" s="200" t="s">
        <v>6</v>
      </c>
      <c r="E18" s="201"/>
      <c r="F18" s="201"/>
      <c r="G18" s="29"/>
      <c r="H18" s="29"/>
      <c r="I18" s="29"/>
      <c r="J18" s="29"/>
      <c r="K18" s="29"/>
      <c r="L18" s="29"/>
      <c r="M18" s="29"/>
    </row>
    <row r="19" spans="1:13" x14ac:dyDescent="0.2">
      <c r="A19" s="51" t="str">
        <f t="shared" ref="A19:A32" si="0">LEFT(A18,4)+5&amp;"–"&amp;RIGHT(A18,4)+5</f>
        <v>2034–2039</v>
      </c>
      <c r="B19" s="55">
        <v>1658962</v>
      </c>
      <c r="C19" s="55">
        <v>15615</v>
      </c>
      <c r="D19" s="200"/>
      <c r="E19" s="201"/>
      <c r="F19" s="201"/>
    </row>
    <row r="20" spans="1:13" ht="15.75" x14ac:dyDescent="0.2">
      <c r="A20" s="51" t="str">
        <f t="shared" si="0"/>
        <v>2039–2044</v>
      </c>
      <c r="B20" s="55"/>
      <c r="C20" s="55"/>
      <c r="D20" s="197"/>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690</v>
      </c>
      <c r="C40" s="206"/>
      <c r="E40" s="32"/>
    </row>
    <row r="41" spans="1:13" ht="15.75" x14ac:dyDescent="0.25">
      <c r="A41" s="5" t="s">
        <v>191</v>
      </c>
      <c r="B41" s="204" t="str">
        <f>B10</f>
        <v>Office of Emergency Services</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v>6288081</v>
      </c>
      <c r="C44" s="55">
        <v>821231</v>
      </c>
      <c r="D44" s="200" t="s">
        <v>4</v>
      </c>
      <c r="E44" s="201"/>
      <c r="F44" s="201"/>
    </row>
    <row r="45" spans="1:13" ht="15" customHeight="1" x14ac:dyDescent="0.2">
      <c r="A45" s="51" t="str">
        <f>LEFT(A44,4)+1&amp;"–"&amp;RIGHT(A44,4)+1</f>
        <v>2025–2026</v>
      </c>
      <c r="B45" s="55">
        <v>6275624</v>
      </c>
      <c r="C45" s="55">
        <v>746388</v>
      </c>
      <c r="D45" s="200"/>
      <c r="E45" s="201"/>
      <c r="F45" s="201"/>
    </row>
    <row r="46" spans="1:13" x14ac:dyDescent="0.2">
      <c r="A46" s="51" t="str">
        <f>LEFT(A45,4)+1&amp;"–"&amp;RIGHT(A45,4)+1</f>
        <v>2026–2027</v>
      </c>
      <c r="B46" s="55">
        <v>6278527</v>
      </c>
      <c r="C46" s="55">
        <v>668652</v>
      </c>
      <c r="D46" s="197"/>
      <c r="E46" s="197"/>
      <c r="F46" s="197"/>
    </row>
    <row r="47" spans="1:13" ht="15" customHeight="1" x14ac:dyDescent="0.2">
      <c r="A47" s="51" t="str">
        <f>LEFT(A46,4)+1&amp;"–"&amp;RIGHT(A46,4)+1</f>
        <v>2027–2028</v>
      </c>
      <c r="B47" s="55">
        <v>6190913</v>
      </c>
      <c r="C47" s="55">
        <v>589193</v>
      </c>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v>5843390</v>
      </c>
      <c r="C48" s="55">
        <v>513440</v>
      </c>
      <c r="D48" s="197"/>
      <c r="E48" s="197"/>
      <c r="F48" s="197"/>
    </row>
    <row r="49" spans="1:6" ht="15" customHeight="1" x14ac:dyDescent="0.2">
      <c r="A49" s="51" t="str">
        <f>LEFT(A48,4)+1&amp;"–"&amp;RIGHT(A48,4)+5</f>
        <v>2029–2034</v>
      </c>
      <c r="B49" s="55">
        <v>10314844</v>
      </c>
      <c r="C49" s="55">
        <v>1859732</v>
      </c>
      <c r="D49" s="200" t="s">
        <v>6</v>
      </c>
      <c r="E49" s="201"/>
      <c r="F49" s="201"/>
    </row>
    <row r="50" spans="1:6" x14ac:dyDescent="0.2">
      <c r="A50" s="51" t="str">
        <f t="shared" ref="A50:A63" si="1">LEFT(A49,4)+5&amp;"–"&amp;RIGHT(A49,4)+5</f>
        <v>2034–2039</v>
      </c>
      <c r="B50" s="55">
        <v>6463287</v>
      </c>
      <c r="C50" s="55">
        <v>1191707</v>
      </c>
      <c r="D50" s="200"/>
      <c r="E50" s="201"/>
      <c r="F50" s="201"/>
    </row>
    <row r="51" spans="1:6" ht="15" customHeight="1" x14ac:dyDescent="0.2">
      <c r="A51" s="51" t="str">
        <f t="shared" si="1"/>
        <v>2039–2044</v>
      </c>
      <c r="B51" s="55">
        <v>5630471</v>
      </c>
      <c r="C51" s="55">
        <v>515327</v>
      </c>
      <c r="D51" s="197"/>
      <c r="E51" s="197"/>
      <c r="F51" s="197"/>
    </row>
    <row r="52" spans="1:6" ht="15" customHeight="1" x14ac:dyDescent="0.2">
      <c r="A52" s="51" t="str">
        <f t="shared" si="1"/>
        <v>2044–2049</v>
      </c>
      <c r="B52" s="55">
        <v>1870182</v>
      </c>
      <c r="C52" s="55">
        <v>140543</v>
      </c>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v>251410</v>
      </c>
      <c r="C53" s="55">
        <v>31835</v>
      </c>
      <c r="D53" s="198"/>
      <c r="E53" s="199"/>
      <c r="F53" s="199"/>
    </row>
    <row r="54" spans="1:6" x14ac:dyDescent="0.2">
      <c r="A54" s="51" t="str">
        <f t="shared" si="1"/>
        <v>2054–2059</v>
      </c>
      <c r="B54" s="55">
        <v>290967</v>
      </c>
      <c r="C54" s="55">
        <v>12313</v>
      </c>
      <c r="D54" s="197"/>
      <c r="E54" s="197"/>
      <c r="F54" s="197"/>
    </row>
    <row r="55" spans="1:6" ht="15" customHeight="1" x14ac:dyDescent="0.2">
      <c r="A55" s="51" t="str">
        <f t="shared" si="1"/>
        <v>2059–2064</v>
      </c>
      <c r="B55" s="55">
        <v>10748</v>
      </c>
      <c r="C55" s="55">
        <v>20</v>
      </c>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690</v>
      </c>
      <c r="C71" s="206"/>
    </row>
    <row r="72" spans="1:13" ht="15.75" x14ac:dyDescent="0.25">
      <c r="A72" s="5" t="s">
        <v>191</v>
      </c>
      <c r="B72" s="204" t="str">
        <f>B10</f>
        <v>Office of Emergency Services</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J14" sqref="J1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690 - Office of Emergency Services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52144065</v>
      </c>
      <c r="G10" s="58"/>
      <c r="H10" s="61">
        <f>IF('LS-Fund 0001 Journal Entries'!$F$8="Governmental Fund",SUM('LS-Fund 0001 Journal Entries'!$K$48,'LS-Fund 0001 Journal Entries'!K113),0)</f>
        <v>34337761</v>
      </c>
      <c r="I10" s="58"/>
      <c r="J10" s="61">
        <f>IF('LS-Fund 0001 Journal Entries'!$F$8="Governmental Fund",SUM('LS-Fund 0001 Journal Entries'!$J$68,'LS-Fund 0001 Journal Entries'!J96),0)</f>
        <v>9910432</v>
      </c>
      <c r="K10" s="58"/>
      <c r="L10" s="63">
        <f>SUM(F10+H10-J10)</f>
        <v>76571394</v>
      </c>
      <c r="M10" s="58"/>
      <c r="N10" s="61">
        <f>IF('LS-Fund 0001 Journal Entries'!$F$8="Governmental Fund",'LS-Fund 0001 Journal Entries'!$K$76,0)</f>
        <v>9569360</v>
      </c>
      <c r="O10" s="58"/>
      <c r="P10" s="63">
        <f>L10-N10</f>
        <v>67002034</v>
      </c>
      <c r="Q10" s="43"/>
    </row>
    <row r="11" spans="2:17" ht="19.5" thickTop="1" thickBot="1" x14ac:dyDescent="0.3">
      <c r="B11" s="41"/>
      <c r="C11" s="45" t="s">
        <v>18</v>
      </c>
      <c r="F11" s="62">
        <f>SUM(F10:F10)</f>
        <v>52144065</v>
      </c>
      <c r="G11" s="58"/>
      <c r="H11" s="62">
        <f>SUM(H10:H10)</f>
        <v>34337761</v>
      </c>
      <c r="I11" s="58"/>
      <c r="J11" s="62">
        <f>SUM(J10:J10)</f>
        <v>9910432</v>
      </c>
      <c r="K11" s="58"/>
      <c r="L11" s="62">
        <f>SUM(L10:L10)</f>
        <v>76571394</v>
      </c>
      <c r="M11" s="58"/>
      <c r="N11" s="62">
        <f>SUM(N10:N10)</f>
        <v>9569360</v>
      </c>
      <c r="O11" s="58"/>
      <c r="P11" s="62">
        <f>SUM(P10:P10)</f>
        <v>67002034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9751 Journal Entries'!$F$8="Proprietary - Internal Service Fund",'LS-Fund 9751 Journal Entries'!$K$23,0)</f>
        <v>57505515</v>
      </c>
      <c r="G14" s="58"/>
      <c r="H14" s="61">
        <f>IF('LS-Fund 9751 Journal Entries'!$F$8="Proprietary - Internal Service Fund",SUM('LS-Fund 9751 Journal Entries'!$K$48,'LS-Fund 9751 Journal Entries'!K113),0)</f>
        <v>5534037</v>
      </c>
      <c r="I14" s="58"/>
      <c r="J14" s="61">
        <f>IF('LS-Fund 9751 Journal Entries'!$F$8="Proprietary - Internal Service Fund",SUM('LS-Fund 9751 Journal Entries'!$J$68,'LS-Fund 9751 Journal Entries'!J96),0)</f>
        <v>7331108</v>
      </c>
      <c r="K14" s="58"/>
      <c r="L14" s="63">
        <f>SUM(F14+H14-J14)</f>
        <v>55708444</v>
      </c>
      <c r="M14" s="58"/>
      <c r="N14" s="61">
        <f>IF('LS-Fund 9751 Journal Entries'!$F$8="Proprietary - Internal Service Fund",'LS-Fund 9751 Journal Entries'!$K$76,0)</f>
        <v>6288081</v>
      </c>
      <c r="O14" s="58"/>
      <c r="P14" s="63">
        <f>L14-N14</f>
        <v>49420363</v>
      </c>
      <c r="Q14" s="43"/>
    </row>
    <row r="15" spans="2:17" ht="19.5" thickTop="1" thickBot="1" x14ac:dyDescent="0.3">
      <c r="B15" s="41"/>
      <c r="C15" s="45" t="s">
        <v>134</v>
      </c>
      <c r="F15" s="62">
        <f>SUM(F14:F14)</f>
        <v>57505515</v>
      </c>
      <c r="G15" s="58"/>
      <c r="H15" s="62">
        <f>SUM(H14:H14)</f>
        <v>5534037</v>
      </c>
      <c r="I15" s="58"/>
      <c r="J15" s="62">
        <f>SUM(J14:J14)</f>
        <v>7331108</v>
      </c>
      <c r="K15" s="58"/>
      <c r="L15" s="62">
        <f>SUM(L14:L14)</f>
        <v>55708444</v>
      </c>
      <c r="M15" s="58"/>
      <c r="N15" s="62">
        <f>SUM(N14:N14)</f>
        <v>6288081</v>
      </c>
      <c r="O15" s="58"/>
      <c r="P15" s="62">
        <f>SUM(P14:P14)</f>
        <v>49420363</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topLeftCell="A8" zoomScale="112" zoomScaleNormal="112" workbookViewId="0">
      <selection activeCell="K47" sqref="K47"/>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52144065</v>
      </c>
      <c r="C16" s="116" t="s">
        <v>145</v>
      </c>
      <c r="D16" s="84">
        <f>IF('LS-Fund 0001 Journal Entries'!$F$8="Governmental Fund",'LS-Fund 0001 Journal Entries'!$K$48,0)</f>
        <v>34337761</v>
      </c>
      <c r="E16" s="118" t="s">
        <v>146</v>
      </c>
      <c r="F16" s="84">
        <f>IF('LS-Fund 0001 Journal Entries'!$F$8="Governmental Fund",'LS-Fund 0001 Journal Entries'!$J$68,0)</f>
        <v>9682260</v>
      </c>
      <c r="G16" s="117" t="s">
        <v>146</v>
      </c>
      <c r="H16" s="84">
        <f>IF('LS-Fund 0001 Journal Entries'!$F$8="Governmental Fund",'LS-Fund 0001 Journal Entries'!$J$96,0)</f>
        <v>228172</v>
      </c>
      <c r="I16" s="117" t="s">
        <v>145</v>
      </c>
      <c r="J16" s="84">
        <f>IF('LS-Fund 0001 Journal Entries'!$F$8="Governmental Fund",'LS-Fund 0001 Journal Entries'!$K$113,0)</f>
        <v>0</v>
      </c>
      <c r="K16" s="118" t="s">
        <v>149</v>
      </c>
      <c r="L16" s="87">
        <f>+B16+D16-F16-H16+J16</f>
        <v>76571394</v>
      </c>
      <c r="M16" s="86"/>
      <c r="N16" s="88">
        <f>SUM('LS-Department Note Disclosure'!B13:B36)</f>
        <v>76571394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9751 Journal Entries'!$F$8="Proprietary - Internal Service Fund",'LS-Fund 9751 Journal Entries'!$K$23,0)</f>
        <v>57505515</v>
      </c>
      <c r="C24" s="116" t="s">
        <v>145</v>
      </c>
      <c r="D24" s="84">
        <f>IF('LS-Fund 9751 Journal Entries'!$F$8="Proprietary - Internal Service Fund",'LS-Fund 9751 Journal Entries'!$K$48,0)</f>
        <v>5534037</v>
      </c>
      <c r="E24" s="118" t="s">
        <v>146</v>
      </c>
      <c r="F24" s="84">
        <f>IF('LS-Fund 9751 Journal Entries'!$F$8="Proprietary - Internal Service Fund",'LS-Fund 9751 Journal Entries'!$J$68,0)</f>
        <v>6154736</v>
      </c>
      <c r="G24" s="117" t="s">
        <v>146</v>
      </c>
      <c r="H24" s="84">
        <f>IF('LS-Fund 9751 Journal Entries'!$F$8="Proprietary - Internal Service Fund",'LS-Fund 9751 Journal Entries'!$J$96,0)</f>
        <v>1176372</v>
      </c>
      <c r="I24" s="117" t="s">
        <v>145</v>
      </c>
      <c r="J24" s="84">
        <f>IF('LS-Fund 9751 Journal Entries'!$F$8="Proprietary - Internal Service Fund",'LS-Fund 9751 Journal Entries'!$K$113,0)</f>
        <v>0</v>
      </c>
      <c r="K24" s="118" t="s">
        <v>149</v>
      </c>
      <c r="L24" s="87">
        <f>+B24+D24-F24-H24+J24</f>
        <v>55708444</v>
      </c>
      <c r="M24" s="86"/>
      <c r="N24" s="88">
        <f>SUM('LS-Department Note Disclosure'!B44:B67)</f>
        <v>55708444</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9569360</v>
      </c>
      <c r="C42" s="92"/>
      <c r="E42" s="92"/>
      <c r="G42" s="115"/>
      <c r="H42" s="115"/>
      <c r="I42" s="115"/>
      <c r="J42" s="115"/>
      <c r="K42" s="92"/>
      <c r="L42" s="92"/>
      <c r="M42" s="93"/>
      <c r="N42" s="88">
        <f>'LS-Department Note Disclosure'!B13</f>
        <v>9569360</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9751 Journal Entries'!$F$8="Proprietary - Internal Service Fund",'LS-Fund 9751 Journal Entries'!$K$76,0)</f>
        <v>6288081</v>
      </c>
      <c r="C49" s="92"/>
      <c r="E49" s="92"/>
      <c r="G49" s="115"/>
      <c r="H49" s="115"/>
      <c r="I49" s="115"/>
      <c r="J49" s="115"/>
      <c r="K49" s="92"/>
      <c r="L49" s="92"/>
      <c r="M49" s="93"/>
      <c r="N49" s="88">
        <f>'LS-Department Note Disclosure'!B44</f>
        <v>6288081</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52144065</v>
      </c>
      <c r="J66" s="97">
        <f>SUM(D66)</f>
        <v>52144065</v>
      </c>
      <c r="L66" s="98" t="str">
        <f>CONCATENATE("Balance July 1, ",LEFT('LS-Department Note Disclosure'!$B$8,4))</f>
        <v>Balance July 1, 2023</v>
      </c>
      <c r="N66" s="97">
        <f>'LS-Lease Liabilities'!F10</f>
        <v>52144065</v>
      </c>
      <c r="P66" s="89">
        <f>J66-N66</f>
        <v>0</v>
      </c>
    </row>
    <row r="67" spans="1:17" x14ac:dyDescent="0.25">
      <c r="B67" s="79" t="s">
        <v>156</v>
      </c>
      <c r="D67" s="97">
        <f>$D$16</f>
        <v>34337761</v>
      </c>
      <c r="E67" s="119" t="s">
        <v>145</v>
      </c>
      <c r="F67" s="79" t="s">
        <v>1681</v>
      </c>
      <c r="H67" s="97">
        <f>$J$16</f>
        <v>0</v>
      </c>
      <c r="J67" s="97">
        <f>SUM(D67,H67)</f>
        <v>34337761</v>
      </c>
      <c r="L67" s="98" t="s">
        <v>12</v>
      </c>
      <c r="N67" s="97">
        <f>'LS-Lease Liabilities'!H10</f>
        <v>34337761</v>
      </c>
      <c r="P67" s="89">
        <f t="shared" ref="P67:P69" si="0">J67-N67</f>
        <v>0</v>
      </c>
    </row>
    <row r="68" spans="1:17" x14ac:dyDescent="0.25">
      <c r="B68" s="79" t="s">
        <v>151</v>
      </c>
      <c r="D68" s="97">
        <f>$F$16</f>
        <v>9682260</v>
      </c>
      <c r="E68" s="119" t="s">
        <v>145</v>
      </c>
      <c r="F68" s="79" t="s">
        <v>1678</v>
      </c>
      <c r="H68" s="97">
        <f>$H$16</f>
        <v>228172</v>
      </c>
      <c r="J68" s="97">
        <f>SUM(D68,H68)</f>
        <v>9910432</v>
      </c>
      <c r="L68" s="98" t="s">
        <v>13</v>
      </c>
      <c r="N68" s="97">
        <f>'LS-Lease Liabilities'!J10</f>
        <v>9910432</v>
      </c>
      <c r="P68" s="89">
        <f t="shared" si="0"/>
        <v>0</v>
      </c>
    </row>
    <row r="69" spans="1:17" x14ac:dyDescent="0.25">
      <c r="B69" s="79" t="s">
        <v>155</v>
      </c>
      <c r="D69" s="97">
        <f>$B$42</f>
        <v>9569360</v>
      </c>
      <c r="J69" s="97">
        <f>SUM(D69)</f>
        <v>9569360</v>
      </c>
      <c r="L69" s="98" t="s">
        <v>14</v>
      </c>
      <c r="N69" s="97">
        <f>'LS-Lease Liabilities'!N10</f>
        <v>9569360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57505515</v>
      </c>
      <c r="J77" s="97">
        <f>SUM(D77)</f>
        <v>57505515</v>
      </c>
      <c r="L77" s="98" t="str">
        <f>CONCATENATE("Balance July 1, ",LEFT('LS-Department Note Disclosure'!$B$8,4))</f>
        <v>Balance July 1, 2023</v>
      </c>
      <c r="N77" s="97">
        <f>'LS-Lease Liabilities'!F14</f>
        <v>57505515</v>
      </c>
      <c r="P77" s="89">
        <f>J77-N77</f>
        <v>0</v>
      </c>
    </row>
    <row r="78" spans="1:17" x14ac:dyDescent="0.25">
      <c r="B78" s="79" t="s">
        <v>156</v>
      </c>
      <c r="D78" s="97">
        <f>D24</f>
        <v>5534037</v>
      </c>
      <c r="E78" s="119" t="s">
        <v>145</v>
      </c>
      <c r="F78" s="79" t="s">
        <v>1681</v>
      </c>
      <c r="H78" s="97">
        <f>$J$24</f>
        <v>0</v>
      </c>
      <c r="J78" s="97">
        <f>SUM(D78,H78)</f>
        <v>5534037</v>
      </c>
      <c r="L78" s="98" t="s">
        <v>12</v>
      </c>
      <c r="N78" s="97">
        <f>'LS-Lease Liabilities'!H14</f>
        <v>5534037</v>
      </c>
      <c r="P78" s="89">
        <f t="shared" ref="P78:P80" si="1">J78-N78</f>
        <v>0</v>
      </c>
    </row>
    <row r="79" spans="1:17" x14ac:dyDescent="0.25">
      <c r="B79" s="79" t="s">
        <v>151</v>
      </c>
      <c r="D79" s="97">
        <f>F24</f>
        <v>6154736</v>
      </c>
      <c r="E79" s="119" t="s">
        <v>145</v>
      </c>
      <c r="F79" s="79" t="s">
        <v>1678</v>
      </c>
      <c r="H79" s="97">
        <f>$H$24</f>
        <v>1176372</v>
      </c>
      <c r="J79" s="97">
        <f>SUM(D79,H79)</f>
        <v>7331108</v>
      </c>
      <c r="L79" s="98" t="s">
        <v>13</v>
      </c>
      <c r="N79" s="97">
        <f>'LS-Lease Liabilities'!J14</f>
        <v>7331108</v>
      </c>
      <c r="P79" s="89">
        <f t="shared" si="1"/>
        <v>0</v>
      </c>
    </row>
    <row r="80" spans="1:17" x14ac:dyDescent="0.25">
      <c r="B80" s="79" t="s">
        <v>155</v>
      </c>
      <c r="D80" s="97">
        <f>B49</f>
        <v>6288081</v>
      </c>
      <c r="J80" s="97">
        <f>SUM(D80)</f>
        <v>6288081</v>
      </c>
      <c r="L80" s="98" t="s">
        <v>14</v>
      </c>
      <c r="N80" s="97">
        <f>'LS-Lease Liabilities'!N14</f>
        <v>6288081</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Drop Down Menus</vt:lpstr>
      <vt:lpstr>qryIndex02a</vt:lpstr>
      <vt:lpstr>LS-Version Changes</vt:lpstr>
      <vt:lpstr>LS-Fund 0001 Journal Entries</vt:lpstr>
      <vt:lpstr>LS-Fund 9751 Journal Entries</vt:lpstr>
      <vt:lpstr>LS-Department Note Disclosure</vt:lpstr>
      <vt:lpstr>LS-Lease Liabilities</vt:lpstr>
      <vt:lpstr>LS-Check Figures  </vt:lpstr>
      <vt:lpstr>'LS-Department Note Disclosure'!Print_Area</vt:lpstr>
      <vt:lpstr>'LS-Fund 0001 Journal Entries'!Print_Area</vt:lpstr>
      <vt:lpstr>'LS-Fund 9751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2025-01-22T21:48:30Z</dcterms:modified>
</cp:coreProperties>
</file>