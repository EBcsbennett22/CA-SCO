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4140 HCAI\"/>
    </mc:Choice>
  </mc:AlternateContent>
  <xr:revisionPtr revIDLastSave="0" documentId="13_ncr:1_{19312AB7-FE70-4E7B-8DEA-2DAB9468D532}" xr6:coauthVersionLast="47" xr6:coauthVersionMax="47" xr10:uidLastSave="{00000000-0000-0000-0000-000000000000}"/>
  <bookViews>
    <workbookView xWindow="39150" yWindow="-110" windowWidth="38620" windowHeight="21220" tabRatio="921" firstSheet="2" activeTab="4" xr2:uid="{00000000-000D-0000-FFFF-FFFF00000000}"/>
  </bookViews>
  <sheets>
    <sheet name="Drop Down Menus" sheetId="1" state="hidden" r:id="rId1"/>
    <sheet name="qryIndex02a" sheetId="11" state="hidden" r:id="rId2"/>
    <sheet name="LS-Version Changes" sheetId="13" r:id="rId3"/>
    <sheet name="LS-Fund 0121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0121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B9" i="3"/>
  <c r="C32" i="5"/>
  <c r="B63" i="2"/>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<sst xmlns="http://schemas.openxmlformats.org/spreadsheetml/2006/main" count="8069" uniqueCount="1807">
  <si>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</si>
  <si>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</si>
  <si>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</si>
  <si>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</si>
  <si>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</si>
  <si>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</si>
  <si>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</si>
  <si>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</si>
  <si>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</si>
  <si>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</si>
  <si>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</si>
  <si>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</si>
  <si>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</si>
  <si>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</si>
  <si>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</si>
  <si>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</si>
  <si>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</si>
  <si>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</si>
  <si>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</si>
  <si>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</si>
  <si>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</si>
  <si>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</si>
  <si>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</si>
  <si>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</si>
  <si>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</si>
  <si>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</si>
  <si>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</si>
  <si>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</si>
  <si>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</si>
  <si>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</si>
  <si>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</si>
  <si>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</si>
  <si>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</si>
  <si>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</si>
  <si>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</si>
  <si>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</si>
  <si>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</si>
  <si>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</si>
  <si>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</si>
  <si>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</si>
  <si>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</si>
  <si>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</si>
  <si>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</si>
  <si>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</si>
  <si>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</si>
  <si>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</si>
  <si>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</si>
  <si>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</si>
  <si>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</si>
  <si>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</si>
  <si>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</si>
  <si>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</si>
  <si>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</si>
  <si>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</si>
  <si>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</si>
  <si>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</si>
  <si>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</si>
  <si>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</si>
  <si>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</si>
  <si>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</si>
  <si>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</si>
  <si>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</si>
  <si>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</si>
  <si>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</si>
  <si>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</si>
  <si>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</si>
  <si>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</si>
  <si>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</si>
  <si>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</si>
  <si>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</si>
  <si>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</si>
  <si>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</si>
  <si>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</si>
  <si>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</si>
  <si>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</si>
  <si>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</si>
  <si>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</si>
  <si>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</si>
  <si>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</si>
  <si>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</si>
  <si>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</si>
  <si>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</si>
  <si>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</si>
  <si>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</si>
  <si>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</si>
  <si>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</si>
  <si>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</si>
  <si>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</si>
  <si>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</si>
  <si>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</si>
  <si>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</si>
  <si>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</si>
  <si>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</si>
  <si>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</si>
  <si>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</si>
  <si>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</si>
  <si>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</si>
  <si>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</si>
  <si>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</si>
  <si>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</si>
  <si>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</si>
  <si>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</si>
  <si>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</si>
  <si>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</si>
  <si>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</si>
  <si>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</si>
  <si>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</si>
  <si>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</si>
  <si>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</si>
  <si>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</si>
  <si>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</si>
  <si>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</si>
  <si>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</si>
  <si>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</si>
  <si>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</si>
  <si>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</si>
  <si>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</si>
  <si>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</si>
  <si>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</si>
  <si>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</si>
  <si>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</si>
  <si>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</si>
  <si>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</si>
  <si>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</si>
  <si>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</si>
  <si>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</si>
  <si>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</si>
  <si>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</si>
  <si>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</si>
  <si>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</si>
  <si>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</si>
  <si>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</si>
  <si>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</si>
  <si>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</si>
  <si>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</si>
  <si>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</si>
  <si>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</si>
  <si>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</si>
  <si>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</si>
  <si>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</si>
  <si>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</si>
  <si>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</si>
  <si>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</si>
  <si>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</si>
  <si>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</si>
  <si>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</si>
  <si>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</si>
  <si>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</si>
  <si>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</si>
  <si>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</si>
  <si>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</si>
  <si>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</si>
  <si>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</si>
  <si>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</si>
  <si>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</si>
  <si>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</si>
  <si>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</si>
  <si>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</si>
  <si>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</si>
  <si>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</si>
  <si>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</si>
  <si>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</si>
  <si>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</si>
  <si>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</si>
  <si>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</si>
  <si>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</si>
  <si>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</si>
  <si>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</si>
  <si>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</si>
  <si>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</si>
  <si>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</si>
  <si>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</si>
  <si>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</si>
  <si>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</si>
  <si>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</si>
  <si>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</si>
  <si>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</si>
  <si>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</si>
  <si>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</si>
  <si>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</si>
  <si>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</si>
  <si>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</si>
  <si>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</si>
  <si>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</si>
  <si>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</si>
  <si>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</si>
  <si>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</si>
  <si>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</si>
  <si>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</si>
  <si>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</si>
  <si>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</si>
  <si>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</si>
  <si>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</si>
  <si>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</si>
  <si>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</si>
  <si>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</si>
  <si>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</si>
  <si>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</si>
  <si>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</si>
  <si>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</si>
  <si>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</si>
  <si>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</si>
  <si>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</si>
  <si>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</si>
  <si>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</si>
  <si>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</si>
  <si>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</si>
  <si>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</si>
  <si>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</si>
  <si>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</si>
  <si>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</si>
  <si>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</si>
  <si>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</si>
  <si>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</si>
  <si>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</si>
  <si>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</si>
  <si>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</si>
  <si>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</si>
  <si>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</si>
  <si>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</si>
  <si>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</si>
  <si>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</si>
  <si>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</si>
  <si>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</si>
  <si>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</si>
  <si>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</si>
  <si>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</si>
  <si>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</si>
  <si>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</si>
  <si>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</si>
  <si>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</si>
  <si>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</si>
  <si>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</si>
  <si>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</si>
  <si>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</si>
  <si>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</si>
  <si>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</si>
  <si>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</si>
  <si>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</si>
  <si>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</si>
  <si>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</si>
  <si>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</si>
  <si>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</si>
  <si>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</si>
  <si>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</si>
  <si>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</si>
  <si>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</si>
  <si>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</si>
  <si>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</si>
  <si>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</si>
  <si>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</si>
  <si>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</si>
  <si>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</si>
  <si>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</si>
  <si>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</si>
  <si>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</si>
  <si>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</si>
  <si>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</si>
  <si>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</si>
  <si>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</si>
  <si>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</si>
  <si>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</si>
  <si>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</si>
  <si>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</si>
  <si>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</si>
  <si>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</si>
  <si>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</si>
  <si>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</si>
  <si>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</si>
  <si>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</si>
  <si>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</si>
  <si>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</si>
  <si>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</si>
  <si>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</si>
  <si>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</si>
  <si>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</si>
  <si>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</si>
  <si>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</si>
  <si>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</si>
  <si>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</si>
  <si>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</si>
  <si>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</si>
  <si>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</si>
  <si>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</si>
  <si>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</si>
  <si>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</si>
  <si>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</si>
  <si>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</si>
  <si>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</si>
  <si>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</si>
  <si>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</si>
  <si>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</si>
  <si>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</si>
  <si>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</si>
  <si>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</si>
  <si>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</si>
  <si>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</si>
  <si>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</si>
  <si>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</si>
  <si>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</si>
  <si>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</si>
  <si>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</si>
  <si>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</si>
  <si>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</si>
  <si>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</si>
  <si>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</si>
  <si>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</si>
  <si>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</si>
  <si>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</si>
  <si>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</si>
  <si>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</si>
  <si>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</si>
  <si>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</si>
  <si>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</si>
  <si>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</si>
  <si>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</si>
  <si>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</si>
  <si>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</si>
  <si>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</si>
  <si>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</si>
  <si>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</si>
  <si>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</si>
  <si>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</si>
  <si>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</si>
  <si>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</si>
  <si>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</si>
  <si>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</si>
  <si>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</si>
  <si>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</si>
  <si>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</si>
  <si>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</si>
  <si>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</si>
  <si>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</si>
  <si>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</si>
  <si>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</si>
  <si>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</si>
  <si>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</si>
  <si>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</si>
  <si>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</si>
  <si>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</si>
  <si>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</si>
  <si>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</si>
  <si>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</si>
  <si>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</si>
  <si>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</si>
  <si>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</si>
  <si>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</si>
  <si>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</si>
  <si>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</si>
  <si>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</si>
  <si>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</si>
  <si>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</si>
  <si>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</si>
  <si>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</si>
  <si>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</si>
  <si>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</si>
  <si>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</si>
  <si>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</si>
  <si>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</si>
  <si>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</si>
  <si>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</si>
  <si>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</si>
  <si>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</si>
  <si>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</si>
  <si>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</si>
  <si>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</si>
  <si>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</si>
  <si>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</si>
  <si>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</si>
  <si>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</si>
  <si>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</si>
  <si>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</si>
  <si>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</si>
  <si>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</si>
  <si>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</si>
  <si>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</si>
  <si>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</si>
  <si>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</si>
  <si>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</si>
  <si>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</si>
  <si>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</si>
  <si>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</si>
  <si>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</si>
  <si>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</si>
  <si>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</si>
  <si>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</si>
  <si>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</si>
  <si>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</si>
  <si>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</si>
  <si>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</si>
  <si>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</si>
  <si>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</si>
  <si>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</si>
  <si>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</si>
  <si>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</si>
  <si>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</si>
  <si>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</si>
  <si>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</si>
  <si>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</si>
  <si>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</si>
  <si>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</si>
  <si>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</si>
  <si>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</si>
  <si>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</si>
  <si>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</si>
  <si>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</si>
  <si>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</si>
  <si>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</si>
  <si>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</si>
  <si>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</si>
  <si>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</si>
  <si>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</si>
  <si>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</si>
  <si>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</si>
  <si>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</si>
  <si>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</si>
  <si>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</si>
  <si>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</si>
  <si>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</si>
  <si>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</si>
  <si>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</si>
  <si>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</si>
  <si>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</si>
  <si>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</si>
  <si>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</si>
  <si>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</si>
  <si>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</si>
  <si>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</si>
  <si>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</si>
  <si>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</si>
  <si>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</si>
  <si>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</si>
  <si>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</si>
  <si>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</si>
  <si>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</si>
  <si>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</si>
  <si>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</si>
  <si>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</si>
  <si>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</si>
  <si>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</si>
  <si>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</si>
  <si>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</si>
  <si>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</si>
  <si>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</si>
  <si>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</si>
  <si>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</si>
  <si>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</si>
  <si>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</si>
  <si>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</si>
  <si>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</si>
  <si>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</si>
  <si>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</si>
  <si>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</si>
  <si>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</si>
  <si>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</si>
  <si>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</si>
  <si>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</si>
  <si>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</si>
  <si>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</si>
  <si>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</si>
  <si>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</si>
  <si>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</si>
  <si>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</si>
  <si>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</si>
  <si>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</si>
  <si>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</si>
  <si>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</si>
  <si>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</si>
  <si>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</si>
  <si>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</si>
  <si>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</si>
  <si>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</si>
  <si>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</si>
  <si>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</si>
  <si>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</si>
  <si>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</si>
  <si>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</si>
  <si>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</si>
  <si>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</si>
  <si>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</si>
  <si>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</si>
  <si>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</si>
  <si>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</si>
  <si>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</si>
  <si>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</si>
  <si>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</si>
  <si>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</si>
  <si>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</si>
  <si>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</si>
  <si>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</si>
  <si>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</si>
  <si>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</si>
  <si>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</si>
  <si>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</si>
  <si>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</si>
  <si>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</si>
  <si>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</si>
  <si>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</si>
  <si>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</si>
  <si>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</si>
  <si>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</si>
  <si>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</si>
  <si>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</si>
  <si>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</si>
  <si>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</si>
  <si>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</si>
  <si>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</si>
  <si>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</si>
  <si>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</si>
  <si>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</si>
  <si>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</si>
  <si>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</si>
  <si>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</si>
  <si>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</si>
  <si>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</si>
  <si>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</si>
  <si>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</si>
  <si>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</si>
  <si>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</si>
  <si>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</si>
  <si>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</si>
  <si>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</si>
  <si>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</si>
  <si>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</si>
  <si>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</si>
  <si>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</si>
  <si>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</si>
  <si>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</si>
  <si>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</si>
  <si>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</si>
  <si>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</si>
  <si>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</si>
  <si>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</si>
  <si>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</si>
  <si>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</si>
  <si>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</si>
  <si>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</si>
  <si>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</si>
  <si>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</si>
  <si>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</si>
  <si>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</si>
  <si>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</si>
  <si>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</si>
  <si>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</si>
  <si>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</si>
  <si>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</si>
  <si>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</si>
  <si>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</si>
  <si>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</si>
  <si>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</si>
  <si>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</si>
  <si>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</si>
  <si>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</si>
  <si>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</si>
  <si>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</si>
  <si>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</si>
  <si>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</si>
  <si>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</si>
  <si>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</si>
  <si>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</si>
  <si>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</si>
  <si>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</si>
  <si>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</si>
  <si>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</si>
  <si>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</si>
  <si>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</si>
  <si>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</si>
  <si>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</si>
  <si>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</si>
  <si>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</si>
  <si>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</si>
  <si>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</si>
  <si>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</si>
  <si>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</si>
  <si>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</si>
  <si>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</si>
  <si>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</si>
  <si>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</si>
  <si>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</si>
  <si>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</si>
  <si>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</si>
  <si>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</si>
  <si>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</si>
  <si>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</si>
  <si>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</si>
  <si>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</si>
  <si>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</si>
  <si>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</si>
  <si>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</si>
  <si>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</si>
  <si>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</si>
  <si>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</si>
  <si>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</si>
  <si>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</si>
  <si>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</si>
  <si>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</si>
  <si>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</si>
  <si>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</si>
  <si>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</si>
  <si>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</si>
  <si>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</si>
  <si>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</si>
  <si>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</si>
  <si>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</si>
  <si>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</si>
  <si>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</si>
  <si>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</si>
  <si>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</si>
  <si>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</si>
  <si>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</si>
  <si>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</si>
  <si>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</si>
  <si>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</si>
  <si>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</si>
  <si>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</si>
  <si>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</si>
  <si>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</si>
  <si>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</si>
  <si>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</si>
  <si>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</si>
  <si>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</si>
  <si>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</si>
  <si>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</si>
  <si>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</si>
  <si>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</si>
  <si>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</si>
  <si>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</si>
  <si>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</si>
  <si>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</si>
  <si>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</si>
  <si>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</si>
  <si>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</si>
  <si>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</si>
  <si>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</si>
  <si>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</si>
  <si>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</si>
  <si>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</si>
  <si>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</si>
  <si>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</si>
  <si>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</si>
  <si>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</si>
  <si>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</si>
  <si>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</si>
  <si>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</si>
  <si>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</si>
  <si>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</si>
  <si>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</si>
  <si>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</si>
  <si>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</si>
  <si>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</si>
  <si>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</si>
  <si>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</si>
  <si>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</si>
  <si>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</si>
  <si>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</si>
  <si>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</si>
  <si>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</si>
  <si>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</si>
  <si>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</si>
  <si>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</si>
  <si>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</si>
  <si>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</si>
  <si>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</si>
  <si>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</si>
  <si>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</si>
  <si>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</si>
  <si>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</si>
  <si>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</si>
  <si>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</si>
  <si>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</si>
  <si>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</si>
  <si>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</si>
  <si>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</si>
  <si>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</si>
  <si>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</si>
  <si>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</si>
  <si>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</si>
  <si>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</si>
  <si>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</si>
  <si>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</si>
  <si>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</si>
  <si>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</si>
  <si>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</si>
  <si>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</si>
  <si>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</si>
  <si>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</si>
  <si>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</si>
  <si>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</si>
  <si>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</si>
  <si>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</si>
  <si>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</si>
  <si>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</si>
  <si>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</si>
  <si>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</si>
  <si>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</si>
  <si>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</si>
  <si>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</si>
  <si>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</si>
  <si>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</si>
  <si>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</si>
  <si>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</si>
  <si>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</si>
  <si>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</si>
  <si>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</si>
  <si>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</si>
  <si>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</si>
  <si>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</si>
  <si>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</si>
  <si>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</si>
  <si>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</si>
  <si>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</si>
  <si>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</si>
  <si>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</si>
  <si>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</si>
  <si>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</si>
  <si>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</si>
  <si>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</si>
  <si>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</si>
  <si>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</si>
  <si>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</si>
  <si>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</si>
  <si>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</si>
  <si>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</si>
  <si>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</si>
  <si>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</si>
  <si>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</si>
  <si>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</si>
  <si>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</si>
  <si>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</si>
  <si>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</si>
  <si>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</si>
  <si>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</si>
  <si>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</si>
  <si>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</si>
  <si>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</si>
  <si>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</si>
  <si>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</si>
  <si>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</si>
  <si>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</si>
  <si>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</si>
  <si>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</si>
  <si>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</si>
  <si>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</si>
  <si>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</si>
  <si>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</si>
  <si>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</si>
  <si>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</si>
  <si>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</si>
  <si>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</si>
  <si>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</si>
  <si>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</si>
  <si>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</si>
  <si>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</si>
  <si>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</si>
  <si>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</si>
  <si>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</si>
  <si>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</si>
  <si>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</si>
  <si>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</si>
  <si>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</si>
  <si>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</si>
  <si>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</si>
  <si>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</si>
  <si>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</si>
  <si>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</si>
  <si>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</si>
  <si>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</si>
  <si>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</si>
  <si>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</si>
  <si>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</si>
  <si>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</si>
  <si>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</si>
  <si>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</si>
  <si>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</si>
  <si>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</si>
  <si>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</si>
  <si>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</si>
  <si>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</si>
  <si>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</si>
  <si>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</si>
  <si>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</si>
  <si>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</si>
  <si>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</si>
  <si>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</si>
  <si>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</si>
  <si>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</si>
  <si>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</si>
  <si>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</si>
  <si>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</si>
  <si>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</si>
  <si>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</si>
  <si>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</si>
  <si>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</si>
  <si>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</si>
  <si>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</si>
  <si>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</si>
  <si>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</si>
  <si>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</si>
  <si>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</si>
  <si>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</si>
  <si>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</si>
  <si>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</si>
  <si>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</si>
  <si>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</si>
  <si>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</si>
  <si>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</si>
  <si>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</si>
  <si>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</si>
  <si>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</si>
  <si>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</si>
  <si>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</si>
  <si>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</si>
  <si>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</si>
  <si>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</si>
  <si>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</si>
  <si>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</si>
  <si>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</si>
  <si>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</si>
  <si>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</si>
  <si>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</si>
  <si>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</si>
  <si>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</si>
  <si>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</si>
  <si>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</si>
  <si>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</si>
  <si>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</si>
  <si>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</si>
  <si>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</si>
  <si>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</si>
  <si>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</si>
  <si>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</si>
  <si>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</si>
  <si>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</si>
  <si>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</si>
  <si>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</si>
  <si>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</si>
  <si>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</si>
  <si>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</si>
  <si>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</si>
  <si>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</si>
  <si>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</si>
  <si>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</si>
  <si>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</si>
  <si>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</si>
  <si>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</si>
  <si>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</si>
  <si>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</si>
  <si>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</si>
  <si>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</si>
  <si>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</si>
  <si>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</si>
  <si>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</si>
  <si>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</si>
  <si>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</si>
  <si>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</si>
  <si>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</si>
  <si>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</si>
  <si>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</si>
  <si>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</si>
  <si>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</si>
  <si>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</si>
  <si>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</si>
  <si>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</si>
  <si>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</si>
  <si>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</si>
  <si>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</si>
  <si>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</si>
  <si>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</si>
  <si>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</si>
  <si>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</si>
  <si>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</si>
  <si>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</si>
  <si>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</si>
  <si>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</si>
  <si>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</si>
  <si>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</si>
  <si>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</si>
  <si>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</si>
  <si>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</si>
  <si>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</si>
  <si>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</si>
  <si>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</si>
  <si>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</si>
  <si>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</si>
  <si>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</si>
  <si>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</si>
  <si>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</si>
  <si>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</si>
  <si>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</si>
  <si>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</si>
  <si>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</si>
  <si>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</si>
  <si>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</si>
  <si>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</si>
  <si>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</si>
  <si>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</si>
  <si>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</si>
  <si>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</si>
  <si>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</si>
  <si>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</si>
  <si>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</si>
  <si>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</si>
  <si>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</si>
  <si>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</si>
  <si>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</si>
  <si>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</si>
  <si>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</si>
  <si>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</si>
  <si>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</si>
  <si>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</si>
  <si>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</si>
  <si>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</si>
  <si>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</si>
  <si>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</si>
  <si>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</si>
  <si>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</si>
  <si>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</si>
  <si>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</si>
  <si>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</si>
  <si>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</si>
  <si>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</si>
  <si>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</si>
  <si>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</si>
  <si>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</si>
  <si>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</si>
  <si>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</si>
  <si>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</si>
  <si>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</si>
  <si>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</si>
  <si>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</si>
  <si>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</si>
  <si>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</si>
  <si>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</si>
  <si>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</si>
  <si>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</si>
  <si>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</si>
  <si>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</si>
  <si>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</si>
  <si>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</si>
  <si>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</si>
  <si>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</si>
  <si>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</si>
  <si>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</si>
  <si>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</si>
  <si>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</si>
  <si>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</si>
  <si>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</si>
  <si>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</si>
  <si>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</si>
  <si>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</si>
  <si>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</si>
  <si>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</si>
  <si>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</si>
  <si>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</si>
  <si>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</si>
  <si>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</si>
  <si>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</si>
  <si>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</si>
  <si>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</si>
  <si>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</si>
  <si>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</si>
  <si>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</si>
  <si>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</si>
  <si>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</si>
  <si>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</si>
  <si>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</si>
  <si>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</si>
  <si>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</si>
  <si>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</si>
  <si>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</si>
  <si>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</si>
  <si>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</si>
  <si>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</si>
  <si>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</si>
  <si>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</si>
  <si>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</si>
  <si>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</si>
  <si>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</si>
  <si>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</si>
  <si>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</si>
  <si>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</si>
  <si>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</si>
  <si>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</si>
  <si>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</si>
  <si>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</si>
  <si>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</si>
  <si>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</si>
  <si>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</si>
  <si>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</si>
  <si>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</si>
  <si>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</si>
  <si>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</si>
  <si>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</si>
  <si>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</si>
  <si>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</si>
  <si>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</si>
  <si>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</si>
  <si>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</si>
  <si>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</si>
  <si>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</si>
  <si>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</si>
  <si>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</si>
  <si>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</si>
  <si>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</si>
  <si>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</si>
  <si>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</si>
  <si>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</si>
  <si>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</si>
  <si>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</si>
  <si>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</si>
  <si>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</si>
  <si>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</si>
  <si>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</si>
  <si>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</si>
  <si>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</si>
  <si>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</si>
  <si>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</si>
  <si>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</si>
  <si>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</si>
  <si>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</si>
  <si>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</si>
  <si>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</si>
  <si>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</si>
  <si>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</si>
  <si>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</si>
  <si>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</si>
  <si>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</si>
  <si>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</si>
  <si>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</si>
  <si>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</si>
  <si>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</si>
  <si>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</si>
  <si>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</si>
  <si>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</si>
  <si>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</si>
  <si>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</si>
  <si>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</si>
  <si>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</si>
  <si>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</si>
  <si>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</si>
  <si>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</si>
  <si>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</si>
  <si>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</si>
  <si>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</si>
  <si>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</si>
  <si>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</si>
  <si>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</si>
  <si>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</si>
  <si>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</si>
  <si>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</si>
  <si>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</si>
  <si>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</si>
  <si>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</si>
  <si>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</si>
  <si>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</si>
  <si>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</si>
  <si>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</si>
  <si>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</si>
  <si>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</si>
  <si>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</si>
  <si>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</si>
  <si>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</si>
  <si>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</si>
  <si>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</si>
  <si>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</si>
  <si>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</si>
  <si>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</si>
  <si>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</si>
  <si>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</si>
  <si>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</si>
  <si>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</si>
  <si>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</si>
  <si>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</si>
  <si>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</si>
  <si>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</si>
  <si>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</si>
  <si>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</si>
  <si>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</si>
  <si>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</si>
  <si>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</si>
  <si>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</si>
  <si>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</si>
  <si>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</si>
  <si>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</si>
  <si>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</si>
  <si>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</si>
  <si>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</si>
  <si>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</si>
  <si>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</si>
  <si>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</si>
  <si>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</si>
  <si>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</si>
  <si>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</si>
  <si>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</si>
  <si>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</si>
  <si>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</si>
  <si>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</si>
  <si>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</si>
  <si>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</si>
  <si>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</si>
  <si>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</si>
  <si>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</si>
  <si>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</si>
  <si>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</si>
  <si>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</si>
  <si>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</si>
  <si>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</si>
  <si>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</si>
  <si>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</si>
  <si>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</si>
  <si>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</si>
  <si>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</si>
  <si>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</si>
  <si>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</si>
  <si>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</si>
  <si>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</si>
  <si>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</si>
  <si>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</si>
  <si>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</si>
  <si>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</si>
  <si>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</si>
  <si>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</si>
  <si>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</si>
  <si>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</si>
  <si>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</si>
  <si>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</si>
  <si>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</si>
  <si>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</si>
  <si>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</si>
  <si>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</si>
  <si>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</si>
  <si>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</si>
  <si>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</si>
  <si>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</si>
  <si>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</si>
  <si>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</si>
  <si>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</si>
  <si>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</si>
  <si>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</si>
  <si>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</si>
  <si>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</si>
  <si>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</si>
  <si>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</si>
  <si>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</si>
  <si>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</si>
  <si>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</si>
  <si>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</si>
  <si>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</si>
  <si>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</si>
  <si>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</si>
  <si>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</si>
  <si>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</si>
  <si>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</si>
  <si>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</si>
  <si>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</si>
  <si>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</si>
  <si>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</si>
  <si>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</si>
  <si>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</si>
  <si>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</si>
  <si>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</si>
  <si>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</si>
  <si>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</si>
  <si>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</si>
  <si>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</si>
  <si>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</si>
  <si>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</si>
  <si>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</si>
  <si>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</si>
  <si>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</si>
  <si>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</si>
  <si>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</si>
  <si>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</si>
  <si>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</si>
  <si>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</si>
  <si>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</si>
  <si>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</si>
  <si>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</si>
  <si>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</si>
  <si>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</si>
  <si>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</si>
  <si>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</si>
  <si>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</si>
  <si>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</si>
  <si>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</si>
  <si>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</si>
  <si>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</si>
  <si>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</si>
  <si>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</si>
  <si>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</si>
  <si>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</si>
  <si>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</si>
  <si>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</si>
  <si>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</si>
  <si>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</si>
  <si>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</si>
  <si>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</si>
  <si>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</si>
  <si>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</si>
  <si>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</si>
  <si>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</si>
  <si>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</si>
  <si>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</si>
  <si>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</si>
  <si>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</si>
  <si>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</si>
  <si>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</si>
  <si>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</si>
  <si>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</si>
  <si>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</si>
  <si>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</si>
  <si>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</si>
  <si>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</si>
  <si>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</si>
  <si>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</si>
  <si>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</si>
  <si>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</si>
  <si>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</si>
  <si>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</si>
  <si>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</si>
  <si>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</si>
  <si>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</si>
  <si>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</si>
  <si>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</si>
  <si>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</si>
  <si>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</si>
  <si>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</si>
  <si>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</si>
  <si>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</si>
  <si>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</si>
  <si>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</si>
  <si>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</si>
  <si>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</si>
  <si>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</si>
  <si>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</si>
  <si>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</si>
  <si>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</si>
  <si>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</si>
  <si>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</si>
  <si>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</si>
  <si>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</si>
  <si>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</si>
  <si>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</si>
  <si>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</si>
  <si>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</si>
  <si>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</si>
  <si>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</si>
  <si>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</si>
  <si>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</si>
  <si>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</si>
  <si>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</si>
  <si>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</si>
  <si>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</si>
  <si>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</si>
  <si>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</si>
  <si>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</si>
  <si>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</si>
  <si>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</si>
  <si>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</si>
  <si>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</si>
  <si>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</si>
  <si>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</si>
  <si>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</si>
  <si>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</si>
  <si>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</si>
  <si>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</si>
  <si>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</si>
  <si>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</si>
  <si>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</si>
  <si>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</si>
  <si>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</si>
  <si>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</si>
  <si>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</si>
  <si>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</si>
  <si>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</si>
  <si>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</si>
  <si>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</si>
  <si>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</si>
  <si>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</si>
  <si>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</si>
  <si>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</si>
  <si>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</si>
  <si>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</si>
  <si>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</si>
  <si>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</si>
  <si>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</si>
  <si>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</si>
  <si>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</si>
  <si>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</si>
  <si>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</si>
  <si>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</si>
  <si>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</si>
  <si>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</si>
  <si>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</si>
  <si>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</si>
  <si>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</si>
  <si>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</si>
  <si>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</si>
  <si>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</si>
  <si>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</si>
  <si>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</si>
  <si>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</si>
  <si>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</si>
  <si>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</si>
  <si>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</si>
  <si>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</si>
  <si>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</si>
  <si>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</si>
  <si>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</si>
  <si>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</si>
  <si>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</si>
  <si>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</si>
  <si>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</si>
  <si>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</si>
  <si>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</si>
  <si>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</si>
  <si>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</si>
  <si>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</si>
  <si>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</si>
  <si>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</si>
  <si>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</si>
  <si>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</si>
  <si>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</si>
  <si>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</si>
  <si>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</si>
  <si>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</si>
  <si>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</si>
  <si>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</si>
  <si>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</si>
  <si>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</si>
  <si>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</si>
  <si>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</si>
  <si>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</si>
  <si>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</si>
  <si>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</si>
  <si>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</si>
  <si>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</si>
  <si>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</si>
  <si>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</si>
  <si>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</si>
  <si>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</si>
  <si>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</si>
  <si>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</si>
  <si>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</si>
  <si>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</si>
  <si>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</si>
  <si>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</si>
  <si>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</si>
  <si>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</si>
  <si>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</si>
  <si>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</si>
  <si>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</si>
  <si>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</si>
  <si>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</si>
  <si>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</si>
  <si>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</si>
  <si>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</si>
  <si>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</si>
  <si>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</si>
  <si>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</si>
  <si>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</si>
  <si>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</si>
  <si>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</si>
  <si>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</si>
  <si>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</si>
  <si>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</si>
  <si>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</si>
  <si>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</si>
  <si>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</si>
  <si>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</si>
  <si>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</si>
  <si>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</si>
  <si>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</si>
  <si>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</si>
  <si>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</si>
  <si>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</si>
  <si>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</si>
  <si>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</si>
  <si>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</si>
  <si>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</si>
  <si>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</si>
  <si>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</si>
  <si>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</si>
  <si>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</si>
  <si>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</si>
  <si>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</si>
  <si>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</si>
  <si>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</si>
  <si>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</si>
  <si>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</si>
  <si>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</si>
  <si>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</si>
  <si>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</si>
  <si>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</si>
  <si>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</si>
  <si>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</si>
  <si>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</si>
  <si>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</si>
  <si>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</si>
  <si>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</si>
  <si>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</si>
  <si>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</si>
  <si>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</si>
  <si>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</si>
  <si>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</si>
  <si>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</si>
  <si>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</si>
  <si>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</si>
  <si>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</si>
  <si>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</si>
  <si>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</si>
  <si>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</si>
  <si>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</si>
  <si>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</si>
  <si>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</si>
  <si>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</si>
  <si>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</si>
  <si>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</si>
  <si>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</si>
  <si>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</si>
  <si>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</si>
  <si>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</si>
  <si>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</si>
  <si>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</si>
  <si>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</si>
  <si>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</si>
  <si>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</si>
  <si>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</si>
  <si>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</si>
  <si>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</si>
  <si>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</si>
  <si>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</si>
  <si>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</si>
  <si>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</si>
  <si>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</si>
  <si>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</si>
  <si>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</si>
  <si>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</si>
  <si>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</si>
  <si>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</si>
  <si>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</si>
  <si>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</si>
  <si>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</si>
  <si>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</si>
  <si>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</si>
  <si>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</si>
  <si>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</si>
  <si>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</si>
  <si>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</si>
  <si>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</si>
  <si>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</si>
  <si>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</si>
  <si>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</si>
  <si>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</si>
  <si>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</si>
  <si>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</si>
  <si>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</si>
  <si>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</si>
  <si>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</si>
  <si>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</si>
  <si>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</si>
  <si>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</si>
  <si>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</si>
  <si>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</si>
  <si>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</si>
  <si>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</si>
  <si>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</si>
  <si>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</si>
  <si>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</si>
  <si>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</si>
  <si>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</si>
  <si>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</si>
  <si>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</si>
  <si>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</si>
  <si>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</si>
  <si>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</si>
  <si>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</si>
  <si>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</si>
  <si>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</si>
  <si>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</si>
  <si>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</si>
  <si>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</si>
  <si>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</si>
  <si>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</si>
  <si>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</si>
  <si>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</si>
  <si>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</si>
  <si>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</si>
  <si>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</si>
  <si>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</si>
  <si>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</si>
  <si>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</si>
  <si>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</si>
  <si>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</si>
  <si>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</si>
  <si>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</si>
  <si>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</si>
  <si>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</si>
  <si>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</si>
  <si>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</si>
  <si>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</si>
  <si>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</si>
  <si>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</si>
  <si>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</si>
  <si>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</si>
  <si>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</si>
  <si>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</si>
  <si>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</si>
  <si>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</si>
  <si>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</si>
  <si>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</si>
  <si>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</si>
  <si>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</si>
  <si>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</si>
  <si>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</si>
  <si>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</si>
  <si>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</si>
  <si>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</si>
  <si>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</si>
  <si>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</si>
  <si>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</si>
  <si>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</si>
  <si>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</si>
  <si>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</si>
  <si>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</si>
  <si>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</si>
  <si>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</si>
  <si>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</si>
  <si>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</si>
  <si>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</si>
  <si>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</si>
  <si>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</si>
  <si>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</si>
  <si>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</si>
  <si>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</si>
  <si>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</si>
  <si>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</si>
  <si>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</si>
  <si>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</si>
  <si>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</si>
  <si>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</si>
  <si>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</si>
  <si>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</si>
  <si>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</si>
  <si>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</si>
  <si>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</si>
  <si>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</si>
  <si>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</si>
  <si>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</si>
  <si>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</si>
  <si>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</si>
  <si>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</si>
  <si>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</si>
  <si>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</si>
  <si>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</si>
  <si>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</si>
  <si>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</si>
  <si>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</si>
  <si>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</si>
  <si>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</si>
  <si>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</si>
  <si>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</si>
  <si>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</si>
  <si>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</si>
  <si>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</si>
  <si>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</si>
  <si>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</si>
  <si>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</si>
  <si>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</si>
  <si>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</si>
  <si>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</si>
  <si>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</si>
  <si>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</si>
  <si>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</si>
  <si>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</si>
  <si>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</si>
  <si>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</si>
  <si>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</si>
  <si>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</si>
  <si>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</si>
  <si>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</si>
  <si>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</si>
  <si>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</si>
  <si>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</si>
  <si>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</si>
  <si>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</si>
  <si>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</si>
  <si>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</si>
  <si>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</si>
  <si>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</si>
  <si>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</si>
  <si>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</si>
  <si>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</si>
  <si>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</si>
  <si>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</si>
  <si>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</si>
  <si>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</si>
  <si>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</si>
  <si>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</si>
  <si>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</si>
  <si>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</si>
  <si>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</si>
  <si>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</si>
  <si>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</si>
  <si>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</si>
  <si>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</si>
  <si>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</si>
  <si>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</si>
  <si>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</si>
  <si>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</si>
  <si>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</si>
  <si>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</si>
  <si>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</si>
  <si>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</si>
  <si>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</si>
  <si>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</si>
  <si>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</si>
  <si>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</si>
  <si>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</si>
  <si>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</si>
  <si>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</si>
  <si>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</si>
  <si>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</si>
  <si>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</si>
  <si>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</si>
  <si>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</si>
  <si>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</si>
  <si>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</si>
  <si>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</si>
  <si>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</si>
  <si>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</si>
  <si>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</si>
  <si>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</si>
  <si>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</si>
  <si>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</si>
  <si>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</si>
  <si>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</si>
  <si>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</si>
  <si>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</si>
  <si>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</si>
  <si>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</si>
  <si>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</si>
  <si>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</si>
  <si>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</si>
  <si>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</si>
  <si>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</si>
  <si>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</si>
  <si>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</si>
  <si>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</si>
  <si>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</si>
  <si>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</si>
  <si>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</si>
  <si>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</si>
  <si>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</si>
  <si>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</si>
  <si>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</si>
  <si>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</si>
  <si>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</si>
  <si>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</si>
  <si>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</si>
  <si>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</si>
  <si>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</si>
  <si>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</si>
  <si>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</si>
  <si>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</si>
  <si>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</si>
  <si>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</si>
  <si>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</si>
  <si>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</si>
  <si>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</si>
  <si>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</si>
  <si>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</si>
  <si>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</si>
  <si>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</si>
  <si>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</si>
  <si>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</si>
  <si>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</si>
  <si>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</si>
  <si>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</si>
  <si>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</si>
  <si>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</si>
  <si>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</si>
  <si>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</si>
  <si>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</si>
  <si>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</si>
  <si>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</si>
  <si>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</si>
  <si>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</si>
  <si>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</si>
  <si>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</si>
  <si>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</si>
  <si>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</si>
  <si>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</si>
  <si>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</si>
  <si>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</si>
  <si>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</si>
  <si>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</si>
  <si>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</si>
  <si>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</si>
  <si>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</si>
  <si>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</si>
  <si>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</si>
  <si>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</si>
  <si>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</si>
  <si>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</si>
  <si>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</si>
  <si>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</si>
  <si>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</si>
  <si>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</si>
  <si>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</si>
  <si>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</si>
  <si>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</si>
  <si>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</si>
  <si>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</si>
  <si>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</si>
  <si>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</si>
  <si>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</si>
  <si>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</si>
  <si>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</si>
  <si>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</si>
  <si>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</si>
  <si>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</si>
  <si>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</si>
  <si>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</si>
  <si>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</si>
  <si>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</si>
  <si>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</si>
  <si>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</si>
  <si>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</si>
  <si>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</si>
  <si>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</si>
  <si>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</si>
  <si>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</si>
  <si>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</si>
  <si>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</si>
  <si>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</si>
  <si>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</si>
  <si>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</si>
  <si>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</si>
  <si>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</si>
  <si>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</si>
  <si>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</si>
  <si>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</si>
  <si>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</si>
  <si>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</si>
  <si>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</si>
  <si>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</si>
  <si>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</si>
  <si>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</si>
  <si>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</si>
  <si>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</si>
  <si>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</si>
  <si>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</si>
  <si>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</si>
  <si>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</si>
  <si>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</si>
  <si>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</si>
  <si>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</si>
  <si>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</si>
  <si>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</si>
  <si>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</si>
  <si>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</si>
  <si>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</si>
  <si>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</si>
  <si>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</si>
  <si>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</si>
  <si>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</si>
  <si>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</si>
  <si>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</si>
  <si>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</si>
  <si>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</si>
  <si>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</si>
  <si>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</si>
  <si>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</si>
  <si>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</si>
  <si>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</si>
  <si>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</si>
  <si>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</si>
  <si>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</si>
  <si>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</si>
  <si>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</si>
  <si>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</si>
  <si>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</si>
  <si>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</si>
  <si>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</si>
  <si>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</si>
  <si>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</si>
  <si>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</si>
  <si>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</si>
  <si>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</si>
  <si>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</si>
  <si>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</si>
  <si>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</si>
  <si>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</si>
  <si>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</si>
  <si>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</si>
  <si>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</si>
  <si>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</si>
  <si>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</si>
  <si>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</si>
  <si>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</si>
  <si>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</si>
  <si>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</si>
  <si>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Account Number</t>
  </si>
  <si>
    <t>C32</t>
  </si>
  <si>
    <t>Changed account 0765-Investment and interest to account 0777-Investment and interest income.</t>
  </si>
  <si>
    <t>Department of Health Care Access and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</si>
</sst>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xf numFmtId="49" fontId="3" fillId="2" borderId="0" xfId="0" applyNumberFormat="1" applyFont="1" applyFill="1" applyAlignment="1" applyProtection="1">
      <alignment horizontal="left"/>
      <protection locked="0"/>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115" zoomScaleNormal="115" workbookViewId="0">
      <pane ySplit="10" topLeftCell="A11" activePane="bottomLeft" state="frozen"/>
      <selection activeCell="H56" sqref="H56"/>
      <selection pane="bottomLeft" activeCell="B11" sqref="B11"/>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34" zoomScaleNormal="100" workbookViewId="0">
      <selection activeCell="K133" sqref="K13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1806</v>
      </c>
      <c r="G4" s="263"/>
      <c r="H4" s="263"/>
      <c r="I4" s="263"/>
    </row>
    <row r="5" spans="1:20" ht="16.5" customHeight="1" x14ac:dyDescent="0.2">
      <c r="A5" s="261" t="s">
        <v>1639</v>
      </c>
      <c r="B5" s="261"/>
      <c r="C5" s="261"/>
      <c r="D5" s="261"/>
      <c r="E5" s="261"/>
      <c r="F5" s="263" t="s">
        <v>845</v>
      </c>
      <c r="G5" s="263"/>
      <c r="H5" s="263"/>
      <c r="I5" s="263"/>
      <c r="L5" s="39"/>
      <c r="M5" s="39"/>
      <c r="N5" s="39"/>
      <c r="O5" s="39"/>
      <c r="P5" s="39"/>
      <c r="Q5" s="39"/>
    </row>
    <row r="6" spans="1:20" ht="16.5" customHeight="1" x14ac:dyDescent="0.25">
      <c r="A6" s="261" t="s">
        <v>1682</v>
      </c>
      <c r="B6" s="261"/>
      <c r="C6" s="261"/>
      <c r="D6" s="261"/>
      <c r="E6" s="261"/>
      <c r="F6" s="264">
        <v>121</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HEALTH AND HUMAN SERVICES</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51431374</v>
      </c>
      <c r="M17" s="196">
        <v>51431374</v>
      </c>
      <c r="P17" s="196"/>
      <c r="Q17" s="224"/>
      <c r="S17" s="223">
        <f t="shared" si="0"/>
        <v>-51431374</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1807512</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11861153</v>
      </c>
      <c r="N22" s="196">
        <v>11861153</v>
      </c>
      <c r="P22" s="224"/>
      <c r="Q22" s="196"/>
      <c r="S22" s="223">
        <f t="shared" ref="S22:S25" si="1">Q22-N22</f>
        <v>-11861153</v>
      </c>
      <c r="T22" s="250" t="s">
        <v>1730</v>
      </c>
    </row>
    <row r="23" spans="1:20" ht="16.5" customHeight="1" x14ac:dyDescent="0.25">
      <c r="A23" s="234" t="s">
        <v>1697</v>
      </c>
      <c r="B23" s="26"/>
      <c r="C23" s="26" t="s">
        <v>183</v>
      </c>
      <c r="D23" s="26"/>
      <c r="E23" s="193"/>
      <c r="F23" s="194"/>
      <c r="G23" s="194"/>
      <c r="H23" s="195"/>
      <c r="I23" s="195"/>
      <c r="J23" s="213"/>
      <c r="K23" s="248">
        <f>N23</f>
        <v>41377733</v>
      </c>
      <c r="N23" s="196">
        <v>41377733</v>
      </c>
      <c r="P23" s="224"/>
      <c r="Q23" s="196"/>
      <c r="S23" s="223">
        <f t="shared" si="1"/>
        <v>-41377733</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53238886</v>
      </c>
      <c r="K26" s="155">
        <f>SUM(K15:K25)</f>
        <v>53238886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0815 - HLTH&amp;HUM SV SV.LAB(GAAP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5930577</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5930577</v>
      </c>
    </row>
    <row r="59" spans="1:16" ht="16.5" customHeight="1" x14ac:dyDescent="0.25">
      <c r="A59" s="99"/>
      <c r="C59" s="43"/>
      <c r="D59" s="43"/>
      <c r="E59" s="43"/>
      <c r="F59" s="44"/>
      <c r="G59" s="44"/>
      <c r="H59" s="45"/>
      <c r="I59" s="45"/>
      <c r="J59" s="155">
        <f>SUM(J55:J58)</f>
        <v>5930577</v>
      </c>
      <c r="K59" s="155">
        <f>SUM(K55:K58)</f>
        <v>5930577</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5340502</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583151</v>
      </c>
      <c r="K63" s="200"/>
    </row>
    <row r="64" spans="1:16" ht="16.5" customHeight="1" x14ac:dyDescent="0.25">
      <c r="A64" s="99"/>
      <c r="B64" s="26"/>
      <c r="C64" s="26" t="str">
        <f>IF($F$7="Proprietary","Cr: Acct 0870 - SERVICES &amp; CHARGES (MG ADJ)",VLOOKUP($F$9,'Drop Down Menus'!$F$2:$G$10,2,FALSE))</f>
        <v>Cr: Acct 0815 - HLTH&amp;HUM SV SV.LAB(GAAP ADJ)</v>
      </c>
      <c r="D64" s="193"/>
      <c r="E64" s="193"/>
      <c r="F64" s="194"/>
      <c r="G64" s="194"/>
      <c r="H64" s="195"/>
      <c r="I64" s="195"/>
      <c r="J64" s="200"/>
      <c r="K64" s="196">
        <v>5923653</v>
      </c>
    </row>
    <row r="65" spans="1:12" ht="16.5" customHeight="1" x14ac:dyDescent="0.25">
      <c r="A65" s="99"/>
      <c r="C65" s="43"/>
      <c r="D65" s="43"/>
      <c r="E65" s="43"/>
      <c r="F65" s="44"/>
      <c r="G65" s="44"/>
      <c r="H65" s="45"/>
      <c r="I65" s="45"/>
      <c r="J65" s="155">
        <f>SUM(J62:J64)</f>
        <v>5923653</v>
      </c>
      <c r="K65" s="155">
        <f>SUM(K62:K64)</f>
        <v>5923653</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5340502</v>
      </c>
      <c r="K68" s="197"/>
    </row>
    <row r="69" spans="1:12" ht="16.5" customHeight="1" x14ac:dyDescent="0.25">
      <c r="A69" s="99"/>
      <c r="B69" s="26"/>
      <c r="C69" s="26" t="s">
        <v>202</v>
      </c>
      <c r="D69" s="193"/>
      <c r="E69" s="193"/>
      <c r="F69" s="194"/>
      <c r="G69" s="194"/>
      <c r="H69" s="195"/>
      <c r="I69" s="195"/>
      <c r="J69" s="197"/>
      <c r="K69" s="196">
        <v>5340502</v>
      </c>
      <c r="L69" s="37" t="str">
        <f>IF($J$62=$K$69,"","&lt;- Accts 0848 must agree")</f>
        <v/>
      </c>
    </row>
    <row r="70" spans="1:12" ht="16.5" customHeight="1" x14ac:dyDescent="0.25">
      <c r="A70" s="99"/>
      <c r="C70" s="43"/>
      <c r="D70" s="43"/>
      <c r="E70" s="43"/>
      <c r="F70" s="44"/>
      <c r="G70" s="44"/>
      <c r="H70" s="45"/>
      <c r="I70" s="45"/>
      <c r="J70" s="155">
        <f>SUM(J68:J69)</f>
        <v>5340502</v>
      </c>
      <c r="K70" s="155">
        <f>SUM(K68:K69)</f>
        <v>5340502</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5471919</v>
      </c>
      <c r="K75" s="197"/>
    </row>
    <row r="76" spans="1:12" ht="16.5" customHeight="1" x14ac:dyDescent="0.25">
      <c r="A76" s="99"/>
      <c r="B76" s="26"/>
      <c r="C76" s="26" t="s">
        <v>210</v>
      </c>
      <c r="D76" s="193"/>
      <c r="E76" s="193"/>
      <c r="F76" s="194"/>
      <c r="G76" s="194"/>
      <c r="H76" s="195"/>
      <c r="I76" s="195"/>
      <c r="J76" s="197"/>
      <c r="K76" s="196">
        <v>5471919</v>
      </c>
    </row>
    <row r="77" spans="1:12" ht="16.5" customHeight="1" x14ac:dyDescent="0.2">
      <c r="A77" s="99"/>
      <c r="B77" s="268" t="s">
        <v>1737</v>
      </c>
      <c r="C77" s="268"/>
      <c r="D77" s="268"/>
      <c r="E77" s="268"/>
      <c r="F77" s="268"/>
      <c r="G77" s="268"/>
      <c r="H77" s="268"/>
      <c r="I77" s="268"/>
      <c r="J77" s="155">
        <f>SUM(J75:J76)</f>
        <v>5471919</v>
      </c>
      <c r="K77" s="155">
        <f>SUM(K75:K76)</f>
        <v>5471919</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0815 - HLTH&amp;HUM SV SV.LAB(GAAP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0815 - HLTH&amp;HUM SV SV.LAB(GAAP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51431374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-17791730</v>
      </c>
    </row>
    <row r="128" spans="1:12" ht="16.5" customHeight="1" x14ac:dyDescent="0.25">
      <c r="D128" s="193" t="s">
        <v>1708</v>
      </c>
      <c r="H128" s="37"/>
      <c r="K128" s="238">
        <f>-K23-K48+J68+J75+J96-K113</f>
        <v>-30565312</v>
      </c>
    </row>
    <row r="129" spans="4:11" ht="16.5" customHeight="1" x14ac:dyDescent="0.25">
      <c r="D129" s="193" t="s">
        <v>1709</v>
      </c>
      <c r="H129" s="37"/>
      <c r="K129" s="238">
        <f>-K76</f>
        <v>-5471919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zoomScale="70" zoomScaleNormal="70" workbookViewId="0">
      <selection activeCell="C27" sqref="C2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t="str">
        <f>'LS-Fund 0121 Journal Entries'!F5</f>
        <v>4140</v>
      </c>
      <c r="C9" s="282"/>
      <c r="D9" s="5"/>
      <c r="E9" s="5"/>
      <c r="F9" s="5"/>
    </row>
    <row r="10" spans="1:13" ht="15.75" x14ac:dyDescent="0.25">
      <c r="A10" s="12" t="s">
        <v>208</v>
      </c>
      <c r="B10" s="301" t="str">
        <f>'LS-Fund 0121 Journal Entries'!F4</f>
        <v>Department of Health Care Access and Information</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5471919</v>
      </c>
      <c r="C13" s="100">
        <v>503000</v>
      </c>
      <c r="D13" s="272" t="s">
        <v>6</v>
      </c>
      <c r="E13" s="273"/>
      <c r="F13" s="273"/>
      <c r="G13" s="57"/>
      <c r="H13" s="57"/>
      <c r="I13" s="57"/>
      <c r="J13" s="57"/>
      <c r="K13" s="57"/>
      <c r="L13" s="57"/>
      <c r="M13" s="57"/>
    </row>
    <row r="14" spans="1:13" x14ac:dyDescent="0.2">
      <c r="A14" s="84" t="str">
        <f>LEFT(A13,4)+1&amp;"–"&amp;RIGHT(A13,4)+1</f>
        <v>2025–2026</v>
      </c>
      <c r="B14" s="100">
        <v>5680614</v>
      </c>
      <c r="C14" s="100">
        <v>419888</v>
      </c>
      <c r="D14" s="272"/>
      <c r="E14" s="273"/>
      <c r="F14" s="273"/>
    </row>
    <row r="15" spans="1:13" ht="15.75" x14ac:dyDescent="0.2">
      <c r="A15" s="84" t="str">
        <f>LEFT(A14,4)+1&amp;"–"&amp;RIGHT(A14,4)+1</f>
        <v>2026–2027</v>
      </c>
      <c r="B15" s="100">
        <v>5802258</v>
      </c>
      <c r="C15" s="100">
        <v>333979</v>
      </c>
      <c r="D15" s="269"/>
      <c r="E15" s="269"/>
      <c r="F15" s="269"/>
      <c r="G15" s="58"/>
      <c r="H15" s="58"/>
      <c r="I15" s="58"/>
      <c r="J15" s="58"/>
      <c r="K15" s="58"/>
      <c r="L15" s="58"/>
      <c r="M15" s="58"/>
    </row>
    <row r="16" spans="1:13" x14ac:dyDescent="0.2">
      <c r="A16" s="84" t="str">
        <f>LEFT(A15,4)+1&amp;"–"&amp;RIGHT(A15,4)+1</f>
        <v>2027–2028</v>
      </c>
      <c r="B16" s="100">
        <v>6125167</v>
      </c>
      <c r="C16" s="100">
        <v>244315</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5859489</v>
      </c>
      <c r="C17" s="100">
        <v>151490</v>
      </c>
      <c r="D17" s="269"/>
      <c r="E17" s="269"/>
      <c r="F17" s="269"/>
      <c r="G17" s="59"/>
      <c r="H17" s="59"/>
      <c r="I17" s="59"/>
      <c r="J17" s="59"/>
      <c r="K17" s="59"/>
    </row>
    <row r="18" spans="1:13" ht="15" customHeight="1" x14ac:dyDescent="0.25">
      <c r="A18" s="84" t="str">
        <f>LEFT(A17,4)+1&amp;"–"&amp;RIGHT(A17,4)+5</f>
        <v>2029–2034</v>
      </c>
      <c r="B18" s="100">
        <v>7097784.4399999995</v>
      </c>
      <c r="C18" s="100">
        <v>242605.51999999996</v>
      </c>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t="str">
        <f>B9</f>
        <v>4140</v>
      </c>
      <c r="C40" s="278"/>
      <c r="E40" s="60"/>
    </row>
    <row r="41" spans="1:13" ht="15.75" x14ac:dyDescent="0.25">
      <c r="A41" s="12" t="s">
        <v>208</v>
      </c>
      <c r="B41" s="276" t="str">
        <f>B10</f>
        <v>Department of Health Care Access and Information</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t="str">
        <f>B9</f>
        <v>4140</v>
      </c>
      <c r="C71" s="278"/>
    </row>
    <row r="72" spans="1:13" ht="15.75" x14ac:dyDescent="0.25">
      <c r="A72" s="12" t="s">
        <v>208</v>
      </c>
      <c r="B72" s="276" t="str">
        <f>B10</f>
        <v>Department of Health Care Access and Information</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0121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4140 - Department of Health Care Access and Information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0121 Journal Entries'!$F$8="Governmental Fund",'LS-Fund 0121 Journal Entries'!$K$23,0)</f>
        <v>41377733</v>
      </c>
      <c r="G10" s="103"/>
      <c r="H10" s="107">
        <f>IF('LS-Fund 0121 Journal Entries'!$F$8="Governmental Fund",SUM('LS-Fund 0121 Journal Entries'!$K$48,'LS-Fund 0121 Journal Entries'!K113),0)</f>
        <v>0</v>
      </c>
      <c r="I10" s="103"/>
      <c r="J10" s="107">
        <f>IF('LS-Fund 0121 Journal Entries'!$F$8="Governmental Fund",SUM('LS-Fund 0121 Journal Entries'!$J$68,'LS-Fund 0121 Journal Entries'!J96),0)</f>
        <v>5340502</v>
      </c>
      <c r="K10" s="103"/>
      <c r="L10" s="109">
        <f>SUM(F10+H10-J10)</f>
        <v>36037231</v>
      </c>
      <c r="M10" s="103"/>
      <c r="N10" s="107">
        <f>IF('LS-Fund 0121 Journal Entries'!$F$8="Governmental Fund",'LS-Fund 0121 Journal Entries'!$K$76,0)</f>
        <v>5471919</v>
      </c>
      <c r="O10" s="103"/>
      <c r="P10" s="109">
        <f>L10-N10</f>
        <v>30565312</v>
      </c>
      <c r="Q10" s="71"/>
    </row>
    <row r="11" spans="2:17" ht="19.5" thickTop="1" thickBot="1" x14ac:dyDescent="0.3">
      <c r="B11" s="69"/>
      <c r="C11" s="73" t="s">
        <v>21</v>
      </c>
      <c r="F11" s="108">
        <f>SUM(F10:F10)</f>
        <v>41377733</v>
      </c>
      <c r="G11" s="103"/>
      <c r="H11" s="108">
        <f>SUM(H10:H10)</f>
        <v>0</v>
      </c>
      <c r="I11" s="103"/>
      <c r="J11" s="108">
        <f>SUM(J10:J10)</f>
        <v>5340502</v>
      </c>
      <c r="K11" s="103"/>
      <c r="L11" s="108">
        <f>SUM(L10:L10)</f>
        <v>36037231</v>
      </c>
      <c r="M11" s="103"/>
      <c r="N11" s="108">
        <f>SUM(N10:N10)</f>
        <v>5471919</v>
      </c>
      <c r="O11" s="103"/>
      <c r="P11" s="108">
        <f>SUM(P10:P10)</f>
        <v>30565312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0121 Journal Entries'!$F$8="Proprietary - Internal Service Fund",'LS-Fund 0121 Journal Entries'!$K$23,0)</f>
        <v>0</v>
      </c>
      <c r="G14" s="103"/>
      <c r="H14" s="107">
        <f>IF('LS-Fund 0121 Journal Entries'!$F$8="Proprietary - Internal Service Fund",SUM('LS-Fund 0121 Journal Entries'!$K$48,'LS-Fund 0121 Journal Entries'!K113),0)</f>
        <v>0</v>
      </c>
      <c r="I14" s="103"/>
      <c r="J14" s="107">
        <f>IF('LS-Fund 0121 Journal Entries'!$F$8="Proprietary - Internal Service Fund",SUM('LS-Fund 0121 Journal Entries'!$J$68,'LS-Fund 0121 Journal Entries'!J96),0)</f>
        <v>0</v>
      </c>
      <c r="K14" s="103"/>
      <c r="L14" s="109">
        <f>SUM(F14+H14-J14)</f>
        <v>0</v>
      </c>
      <c r="M14" s="103"/>
      <c r="N14" s="107">
        <f>IF('LS-Fund 0121 Journal Entries'!$F$8="Proprietary - Internal Service Fund",'LS-Fund 0121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0121 Journal Entries'!$F$8="Proprietary - Enterprise Fund",'LS-Fund 0121 Journal Entries'!$K$23,0)</f>
        <v>0</v>
      </c>
      <c r="G18" s="103"/>
      <c r="H18" s="107">
        <f>IF('LS-Fund 0121 Journal Entries'!$F$8="Proprietary - Enterprise Fund",SUM('LS-Fund 0121 Journal Entries'!$K$48,'LS-Fund 0121 Journal Entries'!K113),0)</f>
        <v>0</v>
      </c>
      <c r="I18" s="103"/>
      <c r="J18" s="107">
        <f>IF('LS-Fund 0121 Journal Entries'!$F$8="Proprietary - Enterprise Fund",SUM('LS-Fund 0121 Journal Entries'!$J$68,'LS-Fund 0121 Journal Entries'!J96),0)</f>
        <v>0</v>
      </c>
      <c r="K18" s="103"/>
      <c r="L18" s="109">
        <f>SUM(F18+H18-J18)</f>
        <v>0</v>
      </c>
      <c r="M18" s="103"/>
      <c r="N18" s="107">
        <f>IF('LS-Fund 0121 Journal Entries'!$F$8="Proprietary - Enterprise Fund",'LS-Fund 0121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0121 Journal Entries'!$F$8="Governmental Fund",'LS-Fund 0121 Journal Entries'!$K$23,0)</f>
        <v>41377733</v>
      </c>
      <c r="C16" s="168" t="s">
        <v>155</v>
      </c>
      <c r="D16" s="130">
        <f>IF('LS-Fund 0121 Journal Entries'!$F$8="Governmental Fund",'LS-Fund 0121 Journal Entries'!$K$48,0)</f>
        <v>0</v>
      </c>
      <c r="E16" s="170" t="s">
        <v>156</v>
      </c>
      <c r="F16" s="130">
        <f>IF('LS-Fund 0121 Journal Entries'!$F$8="Governmental Fund",'LS-Fund 0121 Journal Entries'!$J$68,0)</f>
        <v>5340502</v>
      </c>
      <c r="G16" s="169" t="s">
        <v>156</v>
      </c>
      <c r="H16" s="130">
        <f>IF('LS-Fund 0121 Journal Entries'!$F$8="Governmental Fund",'LS-Fund 0121 Journal Entries'!$J$96,0)</f>
        <v>0</v>
      </c>
      <c r="I16" s="169" t="s">
        <v>155</v>
      </c>
      <c r="J16" s="130">
        <f>IF('LS-Fund 0121 Journal Entries'!$F$8="Governmental Fund",'LS-Fund 0121 Journal Entries'!$K$113,0)</f>
        <v>0</v>
      </c>
      <c r="K16" s="170" t="s">
        <v>159</v>
      </c>
      <c r="L16" s="133">
        <f>+B16+D16-F16-H16+J16</f>
        <v>36037231</v>
      </c>
      <c r="M16" s="132"/>
      <c r="N16" s="134">
        <f>SUM('LS-Department Note Disclosure'!B13:B36)</f>
        <v>36037231.439999998</v>
      </c>
      <c r="O16" s="131"/>
      <c r="P16" s="135">
        <f>L16-N16</f>
        <v>-0.43999999761581421</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0121 Journal Entries'!$F$8="Proprietary - Internal Service Fund",'LS-Fund 0121 Journal Entries'!$K$23,0)</f>
        <v>0</v>
      </c>
      <c r="C24" s="168" t="s">
        <v>155</v>
      </c>
      <c r="D24" s="130">
        <f>IF('LS-Fund 0121 Journal Entries'!$F$8="Proprietary - Internal Service Fund",'LS-Fund 0121 Journal Entries'!$K$48,0)</f>
        <v>0</v>
      </c>
      <c r="E24" s="170" t="s">
        <v>156</v>
      </c>
      <c r="F24" s="130">
        <f>IF('LS-Fund 0121 Journal Entries'!$F$8="Proprietary - Internal Service Fund",'LS-Fund 0121 Journal Entries'!$J$68,0)</f>
        <v>0</v>
      </c>
      <c r="G24" s="169" t="s">
        <v>156</v>
      </c>
      <c r="H24" s="130">
        <f>IF('LS-Fund 0121 Journal Entries'!$F$8="Proprietary - Internal Service Fund",'LS-Fund 0121 Journal Entries'!$J$96,0)</f>
        <v>0</v>
      </c>
      <c r="I24" s="169" t="s">
        <v>155</v>
      </c>
      <c r="J24" s="130">
        <f>IF('LS-Fund 0121 Journal Entries'!$F$8="Proprietary - Internal Service Fund",'LS-Fund 0121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0121 Journal Entries'!$F$8="Proprietary - Enterprise Fund",'LS-Fund 0121 Journal Entries'!$K$23,0)</f>
        <v>0</v>
      </c>
      <c r="C33" s="168" t="s">
        <v>155</v>
      </c>
      <c r="D33" s="130">
        <f>IF('LS-Fund 0121 Journal Entries'!$F$8="Proprietary - Enterprise Fund",'LS-Fund 0121 Journal Entries'!$K$48,0)</f>
        <v>0</v>
      </c>
      <c r="E33" s="170" t="s">
        <v>156</v>
      </c>
      <c r="F33" s="130">
        <f>IF('LS-Fund 0121 Journal Entries'!$F$8="Proprietary - Enterprise Fund",'LS-Fund 0121 Journal Entries'!$J$68,0)</f>
        <v>0</v>
      </c>
      <c r="G33" s="169" t="s">
        <v>156</v>
      </c>
      <c r="H33" s="130">
        <f>IF('LS-Fund 0121 Journal Entries'!$F$8="Proprietary - Enterprise Fund",'LS-Fund 0121 Journal Entries'!$J$96,0)</f>
        <v>0</v>
      </c>
      <c r="I33" s="169" t="s">
        <v>155</v>
      </c>
      <c r="J33" s="130">
        <f>IF('LS-Fund 0121 Journal Entries'!$F$8="Proprietary - Enterprise Fund",'LS-Fund 0121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0121 Journal Entries'!$F$8="Governmental Fund",'LS-Fund 0121 Journal Entries'!$K$76,0)</f>
        <v>5471919</v>
      </c>
      <c r="C42" s="138"/>
      <c r="E42" s="138"/>
      <c r="G42" s="167"/>
      <c r="H42" s="167"/>
      <c r="I42" s="167"/>
      <c r="J42" s="167"/>
      <c r="K42" s="138"/>
      <c r="L42" s="138"/>
      <c r="M42" s="139"/>
      <c r="N42" s="134">
        <f>'LS-Department Note Disclosure'!B13</f>
        <v>5471919</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0121 Journal Entries'!$F$8="Proprietary - Internal Service Fund",'LS-Fund 0121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0121 Journal Entries'!$F$8="Proprietary - Enterprise Fund",'LS-Fund 0121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41377733</v>
      </c>
      <c r="J66" s="143">
        <f>SUM(D66)</f>
        <v>41377733</v>
      </c>
      <c r="L66" s="144" t="str">
        <f>CONCATENATE("Balance July 1, ",LEFT('LS-Department Note Disclosure'!$B$8,4))</f>
        <v>Balance July 1, 2023</v>
      </c>
      <c r="N66" s="143">
        <f>'LS-Lease Liabilities'!F10</f>
        <v>41377733</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5340502</v>
      </c>
      <c r="E68" s="171" t="s">
        <v>155</v>
      </c>
      <c r="F68" s="125" t="s">
        <v>1750</v>
      </c>
      <c r="H68" s="143">
        <f>$H$16</f>
        <v>0</v>
      </c>
      <c r="J68" s="143">
        <f>SUM(D68,H68)</f>
        <v>5340502</v>
      </c>
      <c r="L68" s="144" t="s">
        <v>15</v>
      </c>
      <c r="N68" s="143">
        <f>'LS-Lease Liabilities'!J10</f>
        <v>5340502</v>
      </c>
      <c r="P68" s="135">
        <f t="shared" si="0"/>
        <v>0</v>
      </c>
    </row>
    <row r="69" spans="1:17" x14ac:dyDescent="0.25">
      <c r="B69" s="125" t="s">
        <v>165</v>
      </c>
      <c r="D69" s="143">
        <f>$B$42</f>
        <v>5471919</v>
      </c>
      <c r="J69" s="143">
        <f>SUM(D69)</f>
        <v>5471919</v>
      </c>
      <c r="L69" s="144" t="s">
        <v>16</v>
      </c>
      <c r="N69" s="143">
        <f>'LS-Lease Liabilities'!N10</f>
        <v>5471919</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1736</v>
      </c>
      <c r="B14" s="240" t="s">
        <v>1803</v>
      </c>
      <c r="C14" s="240" t="s">
        <v>1804</v>
      </c>
      <c r="D14" s="240" t="s">
        <v>1804</v>
      </c>
      <c r="E14" s="240" t="s">
        <v>1805</v>
      </c>
      <c r="F14" s="240" t="s">
        <v>1791</v>
      </c>
    </row>
    <row r="15" spans="1:6" ht="28.5" x14ac:dyDescent="0.25">
      <c r="A15" s="240" t="s">
        <v>1770</v>
      </c>
      <c r="B15" s="240" t="s">
        <v>1774</v>
      </c>
      <c r="C15" s="240" t="s">
        <v>1788</v>
      </c>
      <c r="D15" s="240" t="s">
        <v>1788</v>
      </c>
      <c r="E15" s="240" t="s">
        <v>1772</v>
      </c>
      <c r="F15" s="240" t="s">
        <v>1773</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0777 - INVESTMENT AND INTEREST INCOME")</f>
        <v>Cr: Acct 0777 - INVESTMENT AND INTEREST INCOME</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LES/lSrze3oyHWDOgjYjvHEUMs8SWM8uio46YO0clwaxzO0UJ0noRa/kx4vBCrlFcnmA3BB6jiE1c9NA+3pR4A==" saltValue="kmuOodMFc1BX7XEvYoalX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3" activePane="bottomLeft" state="frozen"/>
      <selection activeCell="R66" sqref="R66"/>
      <selection pane="bottomLeft" activeCell="E26" sqref="E26"/>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15D8D235DCE468BCBC69FBEC6E701" ma:contentTypeVersion="13" ma:contentTypeDescription="Create a new document." ma:contentTypeScope="" ma:versionID="ba2b6273f6a0e048837b9dd80d07ce94">
  <xsd:schema xmlns:xsd="http://www.w3.org/2001/XMLSchema" xmlns:xs="http://www.w3.org/2001/XMLSchema" xmlns:p="http://schemas.microsoft.com/office/2006/metadata/properties" xmlns:ns3="c3228d7b-e34e-4493-9746-5e60a98e4203" xmlns:ns4="57c98549-a7cc-4bbc-b80d-aeff2f075bc0" targetNamespace="http://schemas.microsoft.com/office/2006/metadata/properties" ma:root="true" ma:fieldsID="fec95d39d5ed3a5a2edd1bab04570c39" ns3:_="" ns4:_="">
    <xsd:import namespace="c3228d7b-e34e-4493-9746-5e60a98e4203"/>
    <xsd:import namespace="57c98549-a7cc-4bbc-b80d-aeff2f075bc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DateTaken"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228d7b-e34e-4493-9746-5e60a98e420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c98549-a7cc-4bbc-b80d-aeff2f075bc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7c98549-a7cc-4bbc-b80d-aeff2f075bc0" xsi:nil="true"/>
  </documentManagement>
</p:properties>
</file>

<file path=customXml/itemProps1.xml><?xml version="1.0" encoding="utf-8"?>
<ds:datastoreItem xmlns:ds="http://schemas.openxmlformats.org/officeDocument/2006/customXml" ds:itemID="{505828A8-AF95-4FEB-B2F3-691E8405FA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228d7b-e34e-4493-9746-5e60a98e4203"/>
    <ds:schemaRef ds:uri="57c98549-a7cc-4bbc-b80d-aeff2f075b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5B8E4B-ABC9-4E9B-9BCC-FCE852252654}">
  <ds:schemaRefs>
    <ds:schemaRef ds:uri="http://schemas.microsoft.com/sharepoint/v3/contenttype/forms"/>
  </ds:schemaRefs>
</ds:datastoreItem>
</file>

<file path=customXml/itemProps3.xml><?xml version="1.0" encoding="utf-8"?>
<ds:datastoreItem xmlns:ds="http://schemas.openxmlformats.org/officeDocument/2006/customXml" ds:itemID="{4D684821-97DB-43EC-AD12-4BBEFA08D921}">
  <ds:schemaRefs>
    <ds:schemaRef ds:uri="http://schemas.microsoft.com/office/2006/metadata/properties"/>
    <ds:schemaRef ds:uri="http://www.w3.org/XML/1998/namespace"/>
    <ds:schemaRef ds:uri="c3228d7b-e34e-4493-9746-5e60a98e4203"/>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57c98549-a7cc-4bbc-b80d-aeff2f075bc0"/>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0121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0121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2025-03-04T22:33:29Z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0x01010064B15D8D235DCE468BCBC69FBEC6E701</vt:lpwstr>
  </property>
</Properties>
</file>