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7504 OFFICE OF DATA &amp; INNOVATION\"/>
    </mc:Choice>
  </mc:AlternateContent>
  <xr:revisionPtr revIDLastSave="0" documentId="13_ncr:1_{C0B4B962-976F-40C3-B36C-DD8C34608661}"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tc={13185575-C241-4A96-965E-ED47BF509064}</author>
  </authors>
  <commentList>
    <comment ref="J41" authorId="0" shapeId="0" xr:uid="{13185575-C241-4A96-965E-ED47BF509064}">
      <text>
        <t>[Threaded comment]
Your version of Excel allows you to read this threaded comment; however, any edits to it will get removed if the file is opened in a newer version of Excel. Learn more: https://go.microsoft.com/fwlink/?linkid=870924
Comment:
    Asset type corrected from Land to Building. Dept confirmed by email. 12/27.</t>
      </text>
    </comment>
  </commentList>
</comments>
</file>

<file path=xl/sharedStrings.xml><?xml version="1.0" encoding="utf-8"?>
<sst xmlns="http://schemas.openxmlformats.org/spreadsheetml/2006/main" count="7719" uniqueCount="1717">
  <si>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</si>
  <si>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</si>
  <si>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</si>
  <si>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</si>
  <si>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</si>
  <si>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</si>
  <si>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</si>
  <si>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</si>
  <si>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</si>
  <si>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</si>
  <si>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</si>
  <si>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</si>
  <si>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</si>
  <si>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</si>
  <si>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</si>
  <si>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</si>
  <si>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</si>
  <si>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</si>
  <si>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</si>
  <si>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</si>
  <si>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</si>
  <si>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</si>
  <si>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</si>
  <si>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</si>
  <si>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</si>
  <si>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</si>
  <si>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</si>
  <si>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</si>
  <si>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</si>
  <si>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</si>
  <si>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</si>
  <si>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</si>
  <si>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</si>
  <si>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</si>
  <si>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</si>
  <si>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</si>
  <si>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</si>
  <si>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</si>
  <si>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</si>
  <si>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</si>
  <si>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</si>
  <si>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</si>
  <si>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</si>
  <si>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</si>
  <si>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</si>
  <si>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</si>
  <si>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</si>
  <si>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</si>
  <si>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</si>
  <si>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</si>
  <si>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</si>
  <si>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</si>
  <si>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</si>
  <si>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</si>
  <si>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</si>
  <si>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</si>
  <si>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</si>
  <si>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</si>
  <si>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</si>
  <si>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</si>
  <si>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</si>
  <si>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</si>
  <si>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</si>
  <si>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</si>
  <si>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</si>
  <si>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</si>
  <si>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</si>
  <si>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</si>
  <si>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</si>
  <si>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</si>
  <si>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</si>
  <si>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</si>
  <si>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</si>
  <si>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</si>
  <si>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</si>
  <si>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</si>
  <si>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</si>
  <si>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</si>
  <si>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</si>
  <si>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</si>
  <si>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</si>
  <si>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</si>
  <si>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</si>
  <si>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</si>
  <si>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</si>
  <si>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</si>
  <si>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</si>
  <si>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</si>
  <si>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</si>
  <si>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</si>
  <si>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</si>
  <si>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</si>
  <si>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</si>
  <si>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</si>
  <si>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</si>
  <si>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</si>
  <si>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</si>
  <si>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</si>
  <si>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</si>
  <si>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</si>
  <si>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</si>
  <si>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</si>
  <si>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</si>
  <si>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</si>
  <si>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</si>
  <si>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</si>
  <si>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</si>
  <si>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</si>
  <si>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</si>
  <si>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</si>
  <si>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</si>
  <si>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</si>
  <si>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</si>
  <si>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</si>
  <si>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</si>
  <si>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</si>
  <si>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</si>
  <si>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</si>
  <si>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</si>
  <si>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</si>
  <si>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</si>
  <si>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</si>
  <si>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</si>
  <si>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</si>
  <si>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</si>
  <si>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</si>
  <si>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</si>
  <si>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</si>
  <si>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</si>
  <si>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</si>
  <si>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</si>
  <si>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</si>
  <si>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</si>
  <si>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</si>
  <si>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</si>
  <si>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</si>
  <si>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</si>
  <si>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</si>
  <si>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</si>
  <si>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</si>
  <si>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</si>
  <si>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</si>
  <si>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</si>
  <si>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</si>
  <si>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</si>
  <si>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</si>
  <si>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</si>
  <si>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</si>
  <si>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</si>
  <si>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</si>
  <si>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</si>
  <si>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</si>
  <si>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</si>
  <si>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</si>
  <si>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</si>
  <si>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</si>
  <si>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</si>
  <si>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</si>
  <si>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</si>
  <si>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</si>
  <si>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</si>
  <si>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</si>
  <si>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</si>
  <si>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</si>
  <si>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</si>
  <si>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</si>
  <si>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</si>
  <si>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</si>
  <si>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</si>
  <si>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</si>
  <si>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</si>
  <si>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</si>
  <si>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</si>
  <si>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</si>
  <si>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</si>
  <si>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</si>
  <si>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</si>
  <si>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</si>
  <si>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</si>
  <si>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</si>
  <si>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</si>
  <si>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</si>
  <si>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</si>
  <si>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</si>
  <si>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</si>
  <si>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</si>
  <si>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</si>
  <si>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</si>
  <si>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</si>
  <si>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</si>
  <si>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</si>
  <si>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</si>
  <si>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</si>
  <si>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</si>
  <si>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</si>
  <si>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</si>
  <si>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</si>
  <si>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</si>
  <si>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</si>
  <si>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</si>
  <si>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</si>
  <si>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</si>
  <si>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</si>
  <si>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</si>
  <si>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</si>
  <si>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</si>
  <si>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</si>
  <si>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</si>
  <si>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</si>
  <si>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</si>
  <si>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</si>
  <si>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</si>
  <si>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</si>
  <si>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</si>
  <si>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</si>
  <si>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</si>
  <si>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</si>
  <si>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</si>
  <si>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</si>
  <si>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</si>
  <si>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</si>
  <si>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</si>
  <si>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</si>
  <si>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</si>
  <si>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</si>
  <si>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</si>
  <si>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</si>
  <si>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</si>
  <si>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</si>
  <si>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</si>
  <si>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</si>
  <si>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</si>
  <si>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</si>
  <si>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</si>
  <si>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</si>
  <si>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</si>
  <si>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</si>
  <si>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</si>
  <si>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</si>
  <si>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</si>
  <si>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</si>
  <si>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</si>
  <si>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</si>
  <si>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</si>
  <si>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</si>
  <si>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</si>
  <si>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</si>
  <si>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</si>
  <si>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</si>
  <si>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</si>
  <si>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</si>
  <si>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</si>
  <si>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</si>
  <si>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</si>
  <si>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</si>
  <si>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</si>
  <si>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</si>
  <si>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</si>
  <si>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</si>
  <si>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</si>
  <si>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</si>
  <si>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</si>
  <si>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</si>
  <si>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</si>
  <si>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</si>
  <si>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</si>
  <si>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</si>
  <si>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</si>
  <si>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</si>
  <si>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</si>
  <si>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</si>
  <si>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</si>
  <si>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</si>
  <si>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</si>
  <si>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</si>
  <si>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</si>
  <si>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</si>
  <si>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</si>
  <si>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</si>
  <si>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</si>
  <si>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</si>
  <si>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</si>
  <si>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</si>
  <si>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</si>
  <si>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</si>
  <si>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</si>
  <si>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</si>
  <si>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</si>
  <si>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</si>
  <si>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</si>
  <si>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</si>
  <si>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</si>
  <si>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</si>
  <si>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</si>
  <si>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</si>
  <si>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</si>
  <si>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</si>
  <si>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</si>
  <si>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</si>
  <si>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</si>
  <si>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</si>
  <si>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</si>
  <si>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</si>
  <si>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</si>
  <si>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</si>
  <si>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</si>
  <si>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</si>
  <si>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</si>
  <si>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</si>
  <si>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</si>
  <si>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</si>
  <si>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</si>
  <si>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</si>
  <si>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</si>
  <si>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</si>
  <si>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</si>
  <si>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</si>
  <si>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</si>
  <si>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</si>
  <si>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</si>
  <si>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</si>
  <si>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</si>
  <si>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</si>
  <si>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</si>
  <si>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</si>
  <si>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</si>
  <si>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</si>
  <si>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</si>
  <si>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</si>
  <si>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</si>
  <si>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</si>
  <si>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</si>
  <si>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</si>
  <si>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</si>
  <si>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</si>
  <si>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</si>
  <si>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</si>
  <si>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</si>
  <si>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</si>
  <si>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</si>
  <si>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</si>
  <si>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</si>
  <si>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</si>
  <si>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</si>
  <si>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</si>
  <si>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</si>
  <si>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</si>
  <si>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</si>
  <si>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</si>
  <si>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</si>
  <si>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</si>
  <si>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</si>
  <si>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</si>
  <si>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</si>
  <si>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</si>
  <si>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</si>
  <si>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</si>
  <si>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</si>
  <si>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</si>
  <si>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</si>
  <si>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</si>
  <si>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</si>
  <si>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</si>
  <si>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</si>
  <si>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</si>
  <si>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</si>
  <si>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</si>
  <si>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</si>
  <si>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</si>
  <si>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</si>
  <si>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</si>
  <si>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</si>
  <si>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</si>
  <si>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</si>
  <si>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</si>
  <si>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</si>
  <si>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</si>
  <si>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</si>
  <si>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</si>
  <si>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</si>
  <si>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</si>
  <si>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</si>
  <si>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</si>
  <si>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</si>
  <si>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</si>
  <si>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</si>
  <si>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</si>
  <si>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</si>
  <si>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</si>
  <si>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</si>
  <si>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</si>
  <si>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</si>
  <si>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</si>
  <si>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</si>
  <si>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</si>
  <si>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</si>
  <si>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</si>
  <si>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</si>
  <si>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</si>
  <si>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</si>
  <si>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</si>
  <si>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</si>
  <si>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</si>
  <si>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</si>
  <si>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</si>
  <si>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</si>
  <si>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</si>
  <si>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</si>
  <si>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</si>
  <si>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</si>
  <si>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</si>
  <si>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</si>
  <si>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</si>
  <si>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</si>
  <si>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</si>
  <si>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</si>
  <si>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</si>
  <si>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</si>
  <si>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</si>
  <si>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</si>
  <si>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</si>
  <si>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</si>
  <si>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</si>
  <si>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</si>
  <si>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</si>
  <si>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</si>
  <si>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</si>
  <si>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</si>
  <si>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</si>
  <si>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</si>
  <si>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</si>
  <si>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</si>
  <si>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</si>
  <si>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</si>
  <si>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</si>
  <si>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</si>
  <si>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</si>
  <si>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</si>
  <si>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</si>
  <si>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</si>
  <si>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</si>
  <si>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</si>
  <si>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</si>
  <si>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</si>
  <si>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</si>
  <si>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</si>
  <si>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</si>
  <si>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</si>
  <si>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</si>
  <si>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</si>
  <si>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</si>
  <si>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</si>
  <si>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</si>
  <si>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</si>
  <si>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</si>
  <si>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</si>
  <si>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</si>
  <si>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</si>
  <si>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</si>
  <si>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</si>
  <si>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</si>
  <si>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</si>
  <si>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</si>
  <si>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</si>
  <si>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</si>
  <si>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</si>
  <si>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</si>
  <si>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</si>
  <si>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</si>
  <si>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</si>
  <si>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</si>
  <si>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</si>
  <si>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</si>
  <si>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</si>
  <si>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</si>
  <si>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</si>
  <si>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</si>
  <si>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</si>
  <si>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</si>
  <si>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</si>
  <si>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</si>
  <si>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</si>
  <si>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</si>
  <si>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</si>
  <si>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</si>
  <si>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</si>
  <si>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</si>
  <si>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</si>
  <si>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</si>
  <si>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</si>
  <si>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</si>
  <si>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</si>
  <si>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</si>
  <si>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</si>
  <si>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</si>
  <si>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</si>
  <si>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</si>
  <si>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</si>
  <si>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</si>
  <si>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</si>
  <si>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</si>
  <si>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</si>
  <si>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</si>
  <si>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</si>
  <si>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</si>
  <si>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</si>
  <si>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</si>
  <si>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</si>
  <si>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</si>
  <si>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</si>
  <si>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</si>
  <si>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</si>
  <si>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</si>
  <si>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</si>
  <si>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</si>
  <si>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</si>
  <si>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</si>
  <si>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</si>
  <si>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</si>
  <si>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</si>
  <si>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</si>
  <si>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</si>
  <si>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</si>
  <si>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</si>
  <si>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</si>
  <si>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</si>
  <si>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</si>
  <si>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</si>
  <si>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</si>
  <si>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</si>
  <si>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</si>
  <si>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</si>
  <si>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</si>
  <si>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</si>
  <si>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</si>
  <si>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</si>
  <si>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</si>
  <si>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</si>
  <si>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</si>
  <si>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</si>
  <si>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</si>
  <si>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</si>
  <si>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</si>
  <si>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</si>
  <si>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</si>
  <si>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</si>
  <si>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</si>
  <si>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</si>
  <si>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</si>
  <si>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</si>
  <si>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</si>
  <si>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</si>
  <si>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</si>
  <si>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</si>
  <si>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</si>
  <si>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</si>
  <si>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</si>
  <si>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</si>
  <si>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</si>
  <si>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</si>
  <si>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</si>
  <si>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</si>
  <si>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</si>
  <si>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</si>
  <si>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</si>
  <si>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</si>
  <si>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</si>
  <si>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</si>
  <si>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</si>
  <si>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</si>
  <si>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</si>
  <si>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</si>
  <si>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</si>
  <si>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</si>
  <si>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</si>
  <si>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</si>
  <si>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</si>
  <si>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</si>
  <si>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</si>
  <si>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</si>
  <si>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</si>
  <si>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</si>
  <si>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</si>
  <si>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</si>
  <si>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</si>
  <si>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</si>
  <si>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</si>
  <si>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</si>
  <si>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</si>
  <si>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</si>
  <si>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</si>
  <si>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</si>
  <si>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</si>
  <si>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</si>
  <si>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</si>
  <si>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</si>
  <si>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</si>
  <si>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</si>
  <si>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</si>
  <si>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</si>
  <si>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</si>
  <si>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</si>
  <si>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</si>
  <si>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</si>
  <si>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</si>
  <si>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</si>
  <si>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</si>
  <si>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</si>
  <si>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</si>
  <si>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</si>
  <si>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</si>
  <si>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</si>
  <si>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</si>
  <si>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</si>
  <si>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</si>
  <si>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</si>
  <si>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</si>
  <si>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</si>
  <si>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</si>
  <si>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</si>
  <si>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</si>
  <si>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</si>
  <si>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</si>
  <si>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</si>
  <si>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</si>
  <si>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</si>
  <si>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</si>
  <si>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</si>
  <si>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</si>
  <si>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</si>
  <si>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</si>
  <si>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</si>
  <si>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</si>
  <si>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</si>
  <si>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</si>
  <si>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</si>
  <si>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</si>
  <si>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</si>
  <si>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</si>
  <si>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</si>
  <si>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</si>
  <si>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</si>
  <si>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</si>
  <si>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</si>
  <si>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</si>
  <si>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</si>
  <si>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</si>
  <si>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</si>
  <si>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</si>
  <si>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</si>
  <si>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</si>
  <si>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</si>
  <si>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</si>
  <si>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</si>
  <si>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</si>
  <si>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</si>
  <si>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</si>
  <si>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</si>
  <si>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</si>
  <si>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</si>
  <si>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</si>
  <si>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</si>
  <si>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</si>
  <si>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</si>
  <si>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</si>
  <si>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</si>
  <si>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</si>
  <si>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</si>
  <si>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</si>
  <si>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</si>
  <si>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</si>
  <si>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</si>
  <si>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</si>
  <si>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</si>
  <si>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</si>
  <si>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</si>
  <si>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</si>
  <si>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</si>
  <si>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</si>
  <si>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</si>
  <si>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</si>
  <si>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</si>
  <si>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</si>
  <si>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</si>
  <si>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</si>
  <si>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</si>
  <si>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</si>
  <si>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</si>
  <si>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</si>
  <si>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</si>
  <si>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</si>
  <si>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</si>
  <si>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</si>
  <si>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</si>
  <si>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</si>
  <si>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</si>
  <si>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</si>
  <si>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</si>
  <si>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</si>
  <si>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</si>
  <si>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</si>
  <si>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</si>
  <si>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</si>
  <si>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</si>
  <si>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</si>
  <si>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</si>
  <si>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</si>
  <si>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</si>
  <si>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</si>
  <si>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</si>
  <si>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</si>
  <si>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</si>
  <si>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</si>
  <si>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</si>
  <si>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</si>
  <si>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</si>
  <si>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</si>
  <si>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</si>
  <si>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</si>
  <si>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</si>
  <si>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</si>
  <si>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</si>
  <si>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</si>
  <si>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</si>
  <si>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</si>
  <si>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</si>
  <si>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</si>
  <si>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</si>
  <si>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</si>
  <si>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</si>
  <si>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</si>
  <si>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</si>
  <si>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</si>
  <si>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</si>
  <si>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</si>
  <si>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</si>
  <si>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</si>
  <si>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</si>
  <si>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</si>
  <si>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</si>
  <si>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</si>
  <si>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</si>
  <si>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</si>
  <si>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</si>
  <si>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</si>
  <si>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</si>
  <si>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</si>
  <si>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</si>
  <si>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</si>
  <si>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</si>
  <si>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</si>
  <si>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</si>
  <si>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</si>
  <si>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</si>
  <si>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</si>
  <si>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</si>
  <si>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</si>
  <si>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</si>
  <si>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</si>
  <si>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</si>
  <si>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</si>
  <si>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</si>
  <si>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</si>
  <si>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</si>
  <si>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</si>
  <si>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</si>
  <si>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</si>
  <si>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</si>
  <si>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</si>
  <si>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</si>
  <si>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</si>
  <si>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</si>
  <si>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</si>
  <si>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</si>
  <si>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</si>
  <si>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</si>
  <si>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</si>
  <si>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</si>
  <si>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</si>
  <si>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</si>
  <si>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</si>
  <si>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</si>
  <si>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</si>
  <si>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</si>
  <si>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</si>
  <si>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</si>
  <si>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</si>
  <si>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</si>
  <si>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</si>
  <si>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</si>
  <si>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</si>
  <si>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</si>
  <si>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</si>
  <si>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</si>
  <si>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</si>
  <si>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</si>
  <si>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</si>
  <si>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</si>
  <si>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</si>
  <si>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</si>
  <si>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</si>
  <si>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</si>
  <si>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</si>
  <si>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</si>
  <si>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</si>
  <si>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</si>
  <si>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</si>
  <si>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</si>
  <si>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</si>
  <si>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</si>
  <si>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</si>
  <si>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</si>
  <si>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</si>
  <si>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</si>
  <si>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</si>
  <si>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</si>
  <si>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</si>
  <si>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</si>
  <si>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</si>
  <si>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</si>
  <si>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</si>
  <si>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</si>
  <si>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</si>
  <si>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</si>
  <si>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</si>
  <si>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</si>
  <si>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</si>
  <si>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</si>
  <si>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</si>
  <si>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</si>
  <si>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</si>
  <si>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</si>
  <si>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</si>
  <si>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</si>
  <si>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</si>
  <si>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</si>
  <si>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</si>
  <si>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</si>
  <si>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</si>
  <si>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</si>
  <si>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</si>
  <si>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</si>
  <si>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</si>
  <si>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</si>
  <si>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</si>
  <si>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</si>
  <si>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</si>
  <si>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</si>
  <si>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</si>
  <si>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</si>
  <si>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</si>
  <si>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</si>
  <si>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</si>
  <si>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</si>
  <si>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</si>
  <si>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</si>
  <si>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</si>
  <si>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</si>
  <si>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</si>
  <si>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</si>
  <si>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</si>
  <si>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</si>
  <si>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</si>
  <si>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</si>
  <si>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</si>
  <si>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</si>
  <si>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</si>
  <si>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</si>
  <si>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</si>
  <si>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</si>
  <si>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</si>
  <si>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</si>
  <si>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</si>
  <si>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</si>
  <si>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</si>
  <si>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</si>
  <si>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</si>
  <si>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</si>
  <si>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</si>
  <si>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</si>
  <si>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</si>
  <si>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</si>
  <si>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</si>
  <si>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</si>
  <si>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</si>
  <si>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</si>
  <si>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</si>
  <si>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</si>
  <si>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</si>
  <si>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</si>
  <si>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</si>
  <si>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</si>
  <si>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</si>
  <si>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</si>
  <si>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</si>
  <si>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</si>
  <si>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</si>
  <si>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</si>
  <si>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</si>
  <si>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</si>
  <si>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</si>
  <si>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</si>
  <si>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</si>
  <si>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</si>
  <si>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</si>
  <si>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</si>
  <si>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</si>
  <si>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</si>
  <si>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</si>
  <si>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</si>
  <si>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</si>
  <si>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</si>
  <si>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</si>
  <si>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</si>
  <si>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</si>
  <si>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</si>
  <si>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</si>
  <si>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</si>
  <si>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</si>
  <si>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</si>
  <si>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</si>
  <si>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</si>
  <si>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</si>
  <si>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</si>
  <si>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</si>
  <si>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</si>
  <si>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</si>
  <si>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</si>
  <si>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</si>
  <si>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</si>
  <si>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</si>
  <si>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</si>
  <si>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</si>
  <si>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</si>
  <si>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</si>
  <si>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</si>
  <si>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</si>
  <si>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</si>
  <si>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</si>
  <si>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</si>
  <si>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</si>
  <si>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</si>
  <si>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</si>
  <si>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</si>
  <si>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</si>
  <si>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</si>
  <si>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</si>
  <si>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</si>
  <si>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</si>
  <si>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</si>
  <si>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</si>
  <si>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</si>
  <si>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</si>
  <si>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</si>
  <si>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</si>
  <si>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</si>
  <si>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</si>
  <si>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</si>
  <si>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</si>
  <si>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</si>
  <si>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</si>
  <si>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</si>
  <si>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</si>
  <si>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</si>
  <si>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</si>
  <si>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</si>
  <si>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</si>
  <si>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</si>
  <si>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</si>
  <si>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</si>
  <si>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</si>
  <si>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</si>
  <si>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</si>
  <si>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</si>
  <si>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</si>
  <si>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</si>
  <si>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</si>
  <si>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</si>
  <si>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</si>
  <si>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</si>
  <si>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</si>
  <si>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</si>
  <si>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</si>
  <si>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</si>
  <si>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</si>
  <si>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</si>
  <si>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</si>
  <si>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</si>
  <si>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</si>
  <si>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</si>
  <si>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</si>
  <si>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</si>
  <si>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</si>
  <si>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</si>
  <si>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</si>
  <si>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</si>
  <si>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</si>
  <si>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</si>
  <si>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</si>
  <si>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</si>
  <si>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</si>
  <si>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</si>
  <si>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</si>
  <si>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</si>
  <si>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</si>
  <si>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</si>
  <si>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</si>
  <si>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</si>
  <si>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</si>
  <si>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</si>
  <si>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</si>
  <si>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</si>
  <si>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</si>
  <si>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</si>
  <si>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</si>
  <si>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</si>
  <si>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</si>
  <si>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</si>
  <si>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</si>
  <si>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</si>
  <si>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</si>
  <si>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</si>
  <si>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</si>
  <si>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</si>
  <si>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</si>
  <si>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</si>
  <si>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</si>
  <si>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</si>
  <si>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</si>
  <si>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</si>
  <si>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</si>
  <si>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</si>
  <si>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</si>
  <si>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</si>
  <si>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</si>
  <si>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</si>
  <si>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</si>
  <si>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</si>
  <si>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</si>
  <si>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</si>
  <si>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</si>
  <si>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</si>
  <si>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</si>
  <si>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</si>
  <si>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</si>
  <si>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</si>
  <si>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</si>
  <si>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</si>
  <si>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</si>
  <si>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</si>
  <si>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</si>
  <si>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</si>
  <si>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</si>
  <si>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</si>
  <si>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</si>
  <si>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</si>
  <si>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</si>
  <si>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</si>
  <si>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</si>
  <si>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</si>
  <si>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</si>
  <si>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</si>
  <si>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</si>
  <si>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</si>
  <si>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</si>
  <si>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</si>
  <si>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</si>
  <si>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</si>
  <si>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</si>
  <si>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</si>
  <si>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</si>
  <si>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</si>
  <si>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</si>
  <si>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</si>
  <si>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</si>
  <si>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</si>
  <si>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</si>
  <si>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</si>
  <si>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</si>
  <si>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</si>
  <si>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</si>
  <si>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</si>
  <si>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</si>
  <si>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</si>
  <si>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</si>
  <si>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</si>
  <si>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</si>
  <si>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</si>
  <si>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</si>
  <si>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</si>
  <si>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</si>
  <si>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</si>
  <si>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</si>
  <si>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</si>
  <si>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</si>
  <si>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</si>
  <si>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</si>
  <si>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</si>
  <si>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</si>
  <si>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</si>
  <si>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</si>
  <si>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</si>
  <si>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</si>
  <si>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</si>
  <si>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</si>
  <si>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</si>
  <si>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</si>
  <si>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</si>
  <si>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</si>
  <si>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</si>
  <si>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</si>
  <si>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</si>
  <si>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</si>
  <si>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</si>
  <si>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</si>
  <si>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</si>
  <si>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</si>
  <si>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</si>
  <si>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</si>
  <si>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</si>
  <si>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</si>
  <si>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</si>
  <si>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</si>
  <si>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</si>
  <si>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</si>
  <si>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</si>
  <si>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</si>
  <si>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</si>
  <si>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</si>
  <si>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</si>
  <si>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</si>
  <si>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</si>
  <si>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</si>
  <si>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</si>
  <si>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</si>
  <si>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</si>
  <si>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</si>
  <si>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</si>
  <si>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</si>
  <si>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</si>
  <si>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</si>
  <si>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</si>
  <si>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</si>
  <si>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</si>
  <si>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</si>
  <si>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</si>
  <si>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</si>
  <si>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</si>
  <si>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</si>
  <si>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</si>
  <si>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</si>
  <si>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</si>
  <si>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</si>
  <si>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</si>
  <si>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</si>
  <si>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</si>
  <si>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</si>
  <si>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</si>
  <si>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</si>
  <si>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</si>
  <si>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</si>
  <si>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</si>
  <si>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</si>
  <si>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</si>
  <si>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</si>
  <si>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</si>
  <si>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</si>
  <si>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</si>
  <si>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</si>
  <si>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</si>
  <si>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</si>
  <si>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</si>
  <si>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</si>
  <si>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</si>
  <si>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</si>
  <si>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</si>
  <si>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</si>
  <si>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</si>
  <si>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</si>
  <si>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</si>
  <si>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</si>
  <si>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</si>
  <si>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</si>
  <si>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</si>
  <si>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</si>
  <si>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</si>
  <si>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</si>
  <si>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</si>
  <si>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</si>
  <si>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</si>
  <si>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</si>
  <si>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</si>
  <si>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</si>
  <si>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</si>
  <si>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</si>
  <si>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</si>
  <si>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</si>
  <si>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</si>
  <si>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</si>
  <si>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</si>
  <si>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</si>
  <si>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</si>
  <si>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</si>
  <si>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</si>
  <si>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</si>
  <si>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</si>
  <si>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</si>
  <si>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</si>
  <si>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</si>
  <si>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</si>
  <si>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</si>
  <si>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</si>
  <si>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</si>
  <si>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</si>
  <si>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</si>
  <si>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</si>
  <si>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</si>
  <si>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</si>
  <si>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</si>
  <si>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</si>
  <si>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</si>
  <si>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</si>
  <si>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</si>
  <si>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</si>
  <si>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</si>
  <si>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</si>
  <si>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</si>
  <si>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</si>
  <si>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</si>
  <si>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</si>
  <si>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</si>
  <si>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</si>
  <si>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</si>
  <si>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</si>
  <si>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</si>
  <si>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</si>
  <si>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</si>
  <si>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</si>
  <si>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</si>
  <si>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</si>
  <si>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</si>
  <si>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</si>
  <si>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</si>
  <si>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</si>
  <si>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</si>
  <si>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</si>
  <si>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</si>
  <si>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</si>
  <si>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</si>
  <si>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</si>
  <si>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</si>
  <si>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</si>
  <si>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</si>
  <si>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</si>
  <si>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</si>
  <si>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</si>
  <si>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</si>
  <si>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</si>
  <si>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</si>
  <si>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</si>
  <si>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</si>
  <si>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</si>
  <si>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</si>
  <si>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</si>
  <si>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</si>
  <si>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</si>
  <si>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</si>
  <si>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</si>
  <si>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</si>
  <si>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</si>
  <si>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</si>
  <si>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</si>
  <si>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</si>
  <si>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</si>
  <si>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</si>
  <si>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</si>
  <si>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</si>
  <si>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</si>
  <si>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</si>
  <si>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</si>
  <si>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</si>
  <si>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</si>
  <si>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</si>
  <si>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</si>
  <si>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</si>
  <si>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</si>
  <si>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</si>
  <si>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</si>
  <si>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</si>
  <si>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</si>
  <si>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</si>
  <si>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</si>
  <si>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</si>
  <si>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</si>
  <si>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</si>
  <si>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</si>
  <si>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</si>
  <si>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</si>
  <si>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</si>
  <si>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</si>
  <si>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</si>
  <si>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</si>
  <si>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</si>
  <si>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</si>
  <si>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</si>
  <si>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</si>
  <si>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</si>
  <si>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</si>
  <si>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</si>
  <si>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</si>
  <si>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</si>
  <si>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</si>
  <si>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</si>
  <si>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</si>
  <si>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</si>
  <si>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</si>
  <si>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</si>
  <si>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</si>
  <si>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</si>
  <si>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</si>
  <si>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</si>
  <si>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</si>
  <si>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</si>
  <si>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</si>
  <si>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</si>
  <si>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</si>
  <si>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</si>
  <si>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</si>
  <si>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</si>
  <si>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</si>
  <si>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</si>
  <si>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</si>
  <si>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</si>
  <si>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</si>
  <si>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</si>
  <si>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</si>
  <si>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</si>
  <si>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</si>
  <si>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</si>
  <si>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</si>
  <si>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</si>
  <si>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</si>
  <si>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</si>
  <si>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</si>
  <si>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</si>
  <si>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</si>
  <si>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</si>
  <si>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</si>
  <si>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</si>
  <si>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</si>
  <si>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</si>
  <si>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</si>
  <si>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</si>
  <si>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</si>
  <si>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</si>
  <si>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</si>
  <si>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</si>
  <si>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</si>
  <si>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</si>
  <si>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</si>
  <si>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</si>
  <si>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</si>
  <si>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</si>
  <si>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</si>
  <si>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</si>
  <si>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</si>
  <si>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</si>
  <si>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</si>
  <si>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</si>
  <si>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</si>
  <si>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</si>
  <si>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</si>
  <si>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</si>
  <si>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</si>
  <si>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</si>
  <si>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</si>
  <si>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</si>
  <si>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</si>
  <si>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</si>
  <si>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</si>
  <si>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</si>
  <si>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</si>
  <si>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</si>
  <si>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</si>
  <si>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</si>
  <si>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</si>
  <si>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</si>
  <si>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</si>
  <si>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</si>
  <si>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</si>
  <si>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</si>
  <si>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</si>
  <si>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</si>
  <si>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</si>
  <si>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</si>
  <si>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</si>
  <si>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</si>
  <si>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</si>
  <si>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</si>
  <si>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</si>
  <si>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</si>
  <si>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</si>
  <si>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</si>
  <si>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</si>
  <si>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</si>
  <si>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</si>
  <si>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</si>
  <si>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</si>
  <si>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</si>
  <si>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</si>
  <si>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</si>
  <si>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</si>
  <si>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</si>
  <si>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</si>
  <si>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</si>
  <si>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</si>
  <si>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</si>
  <si>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</si>
  <si>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</si>
  <si>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</si>
  <si>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</si>
  <si>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</si>
  <si>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</si>
  <si>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</si>
  <si>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</si>
  <si>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</si>
  <si>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</si>
  <si>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</si>
  <si>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</si>
  <si>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</si>
  <si>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</si>
  <si>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</si>
  <si>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</si>
  <si>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</si>
  <si>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</si>
  <si>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</si>
  <si>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</si>
  <si>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</si>
  <si>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</si>
  <si>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</si>
  <si>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</si>
  <si>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</si>
  <si>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</si>
  <si>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</si>
  <si>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</si>
  <si>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</si>
  <si>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</si>
  <si>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</si>
  <si>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</si>
  <si>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</si>
  <si>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</si>
  <si>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</si>
  <si>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</si>
  <si>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</si>
  <si>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</si>
  <si>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</si>
  <si>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</si>
  <si>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</si>
  <si>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</si>
  <si>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</si>
  <si>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</si>
  <si>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</si>
  <si>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</si>
  <si>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</si>
  <si>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</si>
  <si>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</si>
  <si>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</si>
  <si>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</si>
  <si>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</si>
  <si>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</si>
  <si>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</si>
  <si>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</si>
  <si>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</si>
  <si>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</si>
  <si>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</si>
  <si>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</si>
  <si>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</si>
  <si>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</si>
  <si>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</si>
  <si>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</si>
  <si>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</si>
  <si>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</si>
  <si>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</si>
  <si>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</si>
  <si>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</si>
  <si>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</si>
  <si>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</si>
  <si>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</si>
  <si>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</si>
  <si>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</si>
  <si>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</si>
  <si>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</si>
  <si>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</si>
  <si>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</si>
  <si>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</si>
  <si>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</si>
  <si>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</si>
  <si>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</si>
  <si>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</si>
  <si>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</si>
  <si>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</si>
  <si>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</si>
  <si>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</si>
  <si>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</si>
  <si>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</si>
  <si>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</si>
  <si>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</si>
  <si>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</si>
  <si>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</si>
  <si>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</si>
  <si>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</si>
  <si>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</si>
  <si>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</si>
  <si>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</si>
  <si>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</si>
  <si>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</si>
  <si>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</si>
  <si>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</si>
  <si>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</si>
  <si>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</si>
  <si>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</si>
  <si>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</si>
  <si>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</si>
  <si>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</si>
  <si>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</si>
  <si>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</si>
  <si>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</si>
  <si>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</si>
  <si>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</si>
  <si>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</si>
  <si>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</si>
  <si>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</si>
  <si>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</si>
  <si>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</si>
  <si>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</si>
  <si>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</si>
  <si>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</si>
  <si>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</si>
  <si>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</si>
  <si>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</si>
  <si>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</si>
  <si>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</si>
  <si>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</si>
  <si>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</si>
  <si>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</si>
  <si>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</si>
  <si>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</si>
  <si>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</si>
  <si>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</si>
  <si>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</si>
  <si>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</si>
  <si>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</si>
  <si>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</si>
  <si>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</si>
  <si>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</si>
  <si>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</si>
  <si>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</si>
  <si>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</si>
  <si>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</si>
  <si>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</si>
  <si>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</si>
  <si>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</si>
  <si>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</si>
  <si>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</si>
  <si>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</si>
  <si>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</si>
  <si>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</si>
  <si>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</si>
  <si>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</si>
  <si>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</si>
  <si>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</si>
  <si>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</si>
  <si>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</si>
  <si>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</si>
  <si>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</si>
  <si>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</si>
  <si>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</si>
  <si>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</si>
  <si>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</si>
  <si>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</si>
  <si>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</si>
  <si>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</si>
  <si>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</si>
  <si>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</si>
  <si>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</si>
  <si>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</si>
  <si>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</si>
  <si>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</si>
  <si>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</si>
  <si>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</si>
  <si>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</si>
  <si>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</si>
  <si>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</si>
  <si>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</si>
  <si>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</si>
  <si>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</si>
  <si>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</si>
  <si>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</si>
  <si>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</si>
  <si>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</si>
  <si>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</si>
  <si>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</si>
  <si>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</si>
  <si>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</si>
  <si>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</si>
  <si>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</si>
  <si>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</si>
  <si>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</si>
  <si>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</si>
  <si>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</si>
  <si>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</si>
  <si>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</si>
  <si>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</si>
  <si>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</si>
  <si>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</si>
  <si>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</si>
  <si>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</si>
  <si>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</si>
  <si>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</si>
  <si>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</si>
  <si>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</si>
  <si>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</si>
  <si>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</si>
  <si>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</si>
  <si>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</si>
  <si>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</si>
  <si>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</si>
  <si>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</si>
  <si>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</si>
  <si>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</si>
  <si>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</si>
  <si>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</si>
  <si>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</si>
  <si>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</si>
  <si>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</si>
  <si>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</si>
  <si>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</si>
  <si>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</si>
  <si>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</si>
  <si>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</si>
  <si>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</si>
  <si>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</si>
  <si>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</si>
  <si>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</si>
  <si>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</si>
  <si>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</si>
  <si>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</si>
  <si>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</si>
  <si>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</si>
  <si>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</si>
  <si>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</si>
  <si>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</si>
  <si>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</si>
  <si>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</si>
  <si>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</si>
  <si>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</si>
  <si>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</si>
  <si>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</si>
  <si>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</si>
  <si>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</si>
  <si>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</si>
  <si>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</si>
  <si>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</si>
  <si>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</si>
  <si>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</si>
  <si>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</si>
  <si>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</si>
  <si>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</si>
  <si>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</si>
  <si>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</si>
  <si>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</si>
  <si>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</si>
  <si>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</si>
  <si>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</si>
  <si>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</si>
  <si>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</si>
  <si>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</si>
  <si>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</si>
  <si>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</si>
  <si>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</si>
  <si>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</si>
  <si>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</si>
  <si>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</si>
  <si>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</si>
  <si>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</si>
  <si>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</si>
  <si>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</si>
  <si>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</si>
  <si>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</si>
  <si>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</si>
  <si>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</si>
  <si>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</si>
  <si>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</si>
  <si>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</si>
  <si>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</si>
  <si>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</si>
  <si>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</si>
  <si>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</si>
  <si>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</si>
  <si>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</si>
  <si>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</si>
  <si>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</si>
  <si>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</si>
  <si>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</si>
  <si>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</si>
  <si>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</si>
  <si>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</si>
  <si>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</si>
  <si>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</si>
  <si>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</si>
  <si>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</si>
  <si>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</si>
  <si>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</si>
  <si>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</si>
  <si>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</si>
  <si>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Data and Innovation</t>
  </si>
  <si>
    <t>7504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</si>
</sst>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
      <sz val="9"/>
      <color indexed="81"/>
      <name val="Tahoma"/>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Reginalds, Moses" id="{B212804B-5580-49F9-84D4-A3D326BF91CC}" userId="S::MReginalds@ad.sconet.ca.gov::6d8f27e9-41d8-4b3e-9e49-5afa17b11a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1" dT="2024-12-28T02:00:10.48" personId="{B212804B-5580-49F9-84D4-A3D326BF91CC}" id="{13185575-C241-4A96-965E-ED47BF509064}">
    <text>Asset type corrected from Land to Building. Dept confirmed by email. 12/27.</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D32" sqref="D3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K124" sqref="K12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1716</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Unidentified</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0</v>
      </c>
      <c r="M17" s="143"/>
      <c r="P17" s="143"/>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0</v>
      </c>
      <c r="N22" s="143"/>
      <c r="P22" s="155"/>
      <c r="Q22" s="143"/>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0</v>
      </c>
      <c r="N23" s="143"/>
      <c r="P23" s="155"/>
      <c r="Q23" s="143"/>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0</v>
      </c>
      <c r="K26" s="107">
        <f>SUM(K15:K25)</f>
        <v>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1725060</v>
      </c>
      <c r="K33" s="144"/>
    </row>
    <row r="34" spans="1:12" ht="16.5" customHeight="1" x14ac:dyDescent="0.25">
      <c r="A34" s="54"/>
      <c r="B34" s="9"/>
      <c r="C34" s="9" t="s">
        <v>1673</v>
      </c>
      <c r="D34" s="140"/>
      <c r="E34" s="140"/>
      <c r="F34" s="141"/>
      <c r="G34" s="141"/>
      <c r="H34" s="142"/>
      <c r="I34" s="142"/>
      <c r="J34" s="144"/>
      <c r="K34" s="143">
        <v>1725060</v>
      </c>
    </row>
    <row r="35" spans="1:12" ht="16.5" customHeight="1" x14ac:dyDescent="0.25">
      <c r="A35" s="54"/>
      <c r="B35" s="9"/>
      <c r="C35" s="9" t="str">
        <f>IF($F$7="Proprietary","Cr: Acct 0870 - SERVICES &amp; CHARGES (MG ADJ)",VLOOKUP($F$9,'Drop Down Menus'!$F$2:$G$10,2,FALSE))</f>
        <v>Cr: Acct 0XXX - FUNCTIONAL EXPENSE</v>
      </c>
      <c r="D35" s="140"/>
      <c r="E35" s="140"/>
      <c r="F35" s="141"/>
      <c r="G35" s="141"/>
      <c r="H35" s="142"/>
      <c r="I35" s="142"/>
      <c r="J35" s="144"/>
      <c r="K35" s="143"/>
    </row>
    <row r="36" spans="1:12" ht="16.5" customHeight="1" x14ac:dyDescent="0.25">
      <c r="A36" s="54"/>
      <c r="C36" s="16"/>
      <c r="D36" s="16"/>
      <c r="E36" s="16"/>
      <c r="F36" s="17"/>
      <c r="G36" s="17"/>
      <c r="H36" s="18"/>
      <c r="I36" s="18"/>
      <c r="J36" s="107">
        <f>SUM(J33:J35)</f>
        <v>1725060</v>
      </c>
      <c r="K36" s="107">
        <f>SUM(K33:K35)</f>
        <v>1725060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1725060</v>
      </c>
      <c r="K41" s="144"/>
    </row>
    <row r="42" spans="1:12" ht="16.5" customHeight="1" x14ac:dyDescent="0.25">
      <c r="A42" s="54"/>
      <c r="B42" s="9"/>
      <c r="C42" s="9" t="s">
        <v>180</v>
      </c>
      <c r="D42" s="140"/>
      <c r="E42" s="140"/>
      <c r="F42" s="141"/>
      <c r="G42" s="141"/>
      <c r="H42" s="142"/>
      <c r="I42" s="142"/>
      <c r="J42" s="144"/>
      <c r="K42" s="143">
        <v>1725060</v>
      </c>
    </row>
    <row r="43" spans="1:12" ht="16.5" customHeight="1" x14ac:dyDescent="0.25">
      <c r="A43" s="54"/>
      <c r="B43" s="130" t="s">
        <v>1639</v>
      </c>
      <c r="C43" s="16"/>
      <c r="D43" s="16"/>
      <c r="E43" s="16"/>
      <c r="F43" s="17"/>
      <c r="G43" s="17"/>
      <c r="H43" s="18"/>
      <c r="I43" s="18"/>
      <c r="J43" s="107">
        <f>SUM(J39:J42)</f>
        <v>1725060</v>
      </c>
      <c r="K43" s="107">
        <f>SUM(K39:K42)</f>
        <v>1725060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1725060</v>
      </c>
      <c r="K47" s="144"/>
    </row>
    <row r="48" spans="1:12" ht="16.5" customHeight="1" x14ac:dyDescent="0.25">
      <c r="A48" s="165" t="s">
        <v>1645</v>
      </c>
      <c r="B48" s="9"/>
      <c r="C48" s="9" t="s">
        <v>173</v>
      </c>
      <c r="D48" s="140"/>
      <c r="E48" s="140"/>
      <c r="F48" s="141"/>
      <c r="G48" s="141"/>
      <c r="H48" s="142"/>
      <c r="I48" s="142"/>
      <c r="J48" s="144"/>
      <c r="K48" s="143">
        <v>1725060</v>
      </c>
    </row>
    <row r="49" spans="1:16" ht="16.5" customHeight="1" x14ac:dyDescent="0.25">
      <c r="A49" s="54"/>
      <c r="C49" s="16"/>
      <c r="D49" s="16"/>
      <c r="E49" s="16"/>
      <c r="F49" s="17"/>
      <c r="G49" s="17"/>
      <c r="H49" s="18"/>
      <c r="I49" s="18"/>
      <c r="J49" s="107">
        <f>SUM(J47:J48)</f>
        <v>1725060</v>
      </c>
      <c r="K49" s="107">
        <f>SUM(K47:K48)</f>
        <v>1725060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243538</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243538</v>
      </c>
    </row>
    <row r="59" spans="1:16" ht="16.5" customHeight="1" x14ac:dyDescent="0.25">
      <c r="A59" s="54"/>
      <c r="C59" s="16"/>
      <c r="D59" s="16"/>
      <c r="E59" s="16"/>
      <c r="F59" s="17"/>
      <c r="G59" s="17"/>
      <c r="H59" s="18"/>
      <c r="I59" s="18"/>
      <c r="J59" s="107">
        <f>SUM(J55:J58)</f>
        <v>243538</v>
      </c>
      <c r="K59" s="107">
        <f>SUM(K55:K58)</f>
        <v>243538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209447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39433</v>
      </c>
      <c r="K63" s="147"/>
    </row>
    <row r="64" spans="1:16" ht="16.5" customHeight="1" x14ac:dyDescent="0.25">
      <c r="A64" s="54"/>
      <c r="B64" s="9"/>
      <c r="C64" s="9" t="str">
        <f>IF($F$7="Proprietary","Cr: Acct 0870 - SERVICES &amp; CHARGES (MG ADJ)",VLOOKUP($F$9,'Drop Down Menus'!$F$2:$G$10,2,FALSE))</f>
        <v>Cr: Acct 0XXX - FUNCTIONAL EXPENSE</v>
      </c>
      <c r="D64" s="140"/>
      <c r="E64" s="140"/>
      <c r="F64" s="141"/>
      <c r="G64" s="141"/>
      <c r="H64" s="142"/>
      <c r="I64" s="142"/>
      <c r="J64" s="147"/>
      <c r="K64" s="143">
        <v>248880</v>
      </c>
    </row>
    <row r="65" spans="1:12" ht="16.5" customHeight="1" x14ac:dyDescent="0.25">
      <c r="A65" s="54"/>
      <c r="C65" s="16"/>
      <c r="D65" s="16"/>
      <c r="E65" s="16"/>
      <c r="F65" s="17"/>
      <c r="G65" s="17"/>
      <c r="H65" s="18"/>
      <c r="I65" s="18"/>
      <c r="J65" s="107">
        <f>SUM(J62:J64)</f>
        <v>248880</v>
      </c>
      <c r="K65" s="107">
        <f>SUM(K62:K64)</f>
        <v>248880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209447</v>
      </c>
      <c r="K68" s="144"/>
    </row>
    <row r="69" spans="1:12" ht="16.5" customHeight="1" x14ac:dyDescent="0.25">
      <c r="A69" s="54"/>
      <c r="B69" s="9"/>
      <c r="C69" s="9" t="s">
        <v>185</v>
      </c>
      <c r="D69" s="140"/>
      <c r="E69" s="140"/>
      <c r="F69" s="141"/>
      <c r="G69" s="141"/>
      <c r="H69" s="142"/>
      <c r="I69" s="142"/>
      <c r="J69" s="144"/>
      <c r="K69" s="143">
        <v>209447</v>
      </c>
      <c r="L69" s="10" t="str">
        <f>IF($J$62=$K$69,"","&lt;- Accts 0848 must agree")</f>
        <v/>
      </c>
    </row>
    <row r="70" spans="1:12" ht="16.5" customHeight="1" x14ac:dyDescent="0.25">
      <c r="A70" s="54"/>
      <c r="C70" s="16"/>
      <c r="D70" s="16"/>
      <c r="E70" s="16"/>
      <c r="F70" s="17"/>
      <c r="G70" s="17"/>
      <c r="H70" s="18"/>
      <c r="I70" s="18"/>
      <c r="J70" s="107">
        <f>SUM(J68:J69)</f>
        <v>209447</v>
      </c>
      <c r="K70" s="107">
        <f>SUM(K68:K69)</f>
        <v>209447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223790</v>
      </c>
      <c r="K75" s="144"/>
    </row>
    <row r="76" spans="1:12" ht="16.5" customHeight="1" x14ac:dyDescent="0.25">
      <c r="A76" s="54"/>
      <c r="B76" s="9"/>
      <c r="C76" s="9" t="s">
        <v>193</v>
      </c>
      <c r="D76" s="140"/>
      <c r="E76" s="140"/>
      <c r="F76" s="141"/>
      <c r="G76" s="141"/>
      <c r="H76" s="142"/>
      <c r="I76" s="142"/>
      <c r="J76" s="144"/>
      <c r="K76" s="143">
        <v>223790</v>
      </c>
    </row>
    <row r="77" spans="1:12" ht="16.5" customHeight="1" x14ac:dyDescent="0.2">
      <c r="A77" s="54"/>
      <c r="B77" s="190" t="s">
        <v>1672</v>
      </c>
      <c r="C77" s="190"/>
      <c r="D77" s="190"/>
      <c r="E77" s="190"/>
      <c r="F77" s="190"/>
      <c r="G77" s="190"/>
      <c r="H77" s="190"/>
      <c r="I77" s="190"/>
      <c r="J77" s="107">
        <f>SUM(J75:J76)</f>
        <v>223790</v>
      </c>
      <c r="K77" s="107">
        <f>SUM(K75:K76)</f>
        <v>223790</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0XXX - FUNCTIONAL EXPENSE</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0XXX - FUNCTIONAL EXPENSE</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1725060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-243538</v>
      </c>
    </row>
    <row r="128" spans="1:12" ht="16.5" customHeight="1" x14ac:dyDescent="0.25">
      <c r="D128" s="140" t="s">
        <v>1656</v>
      </c>
      <c r="H128" s="10"/>
      <c r="K128" s="169">
        <f>-K23-K48+J68+J75+J96-K113</f>
        <v>-1291823</v>
      </c>
    </row>
    <row r="129" spans="4:11" ht="16.5" customHeight="1" x14ac:dyDescent="0.25">
      <c r="D129" s="140" t="s">
        <v>1657</v>
      </c>
      <c r="H129" s="10"/>
      <c r="K129" s="169">
        <f>-K76</f>
        <v>-223790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8" zoomScale="70" zoomScaleNormal="7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7504</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223790</v>
      </c>
      <c r="C13" s="55">
        <v>34216</v>
      </c>
      <c r="D13" s="202" t="s">
        <v>4</v>
      </c>
      <c r="E13" s="203"/>
      <c r="F13" s="203"/>
      <c r="G13" s="29"/>
      <c r="H13" s="29"/>
      <c r="I13" s="29"/>
      <c r="J13" s="29"/>
      <c r="K13" s="29"/>
      <c r="L13" s="29"/>
      <c r="M13" s="29"/>
    </row>
    <row r="14" spans="1:13" x14ac:dyDescent="0.2">
      <c r="A14" s="51" t="str">
        <f>LEFT(A13,4)+1&amp;"–"&amp;RIGHT(A13,4)+1</f>
        <v>2025–2026</v>
      </c>
      <c r="B14" s="55">
        <v>230114</v>
      </c>
      <c r="C14" s="55">
        <v>28721</v>
      </c>
      <c r="D14" s="202"/>
      <c r="E14" s="203"/>
      <c r="F14" s="203"/>
    </row>
    <row r="15" spans="1:13" ht="15.75" x14ac:dyDescent="0.2">
      <c r="A15" s="51" t="str">
        <f>LEFT(A14,4)+1&amp;"–"&amp;RIGHT(A14,4)+1</f>
        <v>2026–2027</v>
      </c>
      <c r="B15" s="55">
        <v>244963</v>
      </c>
      <c r="C15" s="55">
        <v>22997</v>
      </c>
      <c r="D15" s="198" t="s">
        <v>124</v>
      </c>
      <c r="E15" s="198"/>
      <c r="F15" s="198"/>
      <c r="G15" s="30"/>
      <c r="H15" s="30"/>
      <c r="I15" s="30"/>
      <c r="J15" s="30"/>
      <c r="K15" s="30"/>
      <c r="L15" s="30"/>
      <c r="M15" s="30"/>
    </row>
    <row r="16" spans="1:13" x14ac:dyDescent="0.2">
      <c r="A16" s="51" t="str">
        <f>LEFT(A15,4)+1&amp;"–"&amp;RIGHT(A15,4)+1</f>
        <v>2027–2028</v>
      </c>
      <c r="B16" s="55">
        <v>251806</v>
      </c>
      <c r="C16" s="55">
        <v>16984</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267186</v>
      </c>
      <c r="C17" s="55">
        <v>10730</v>
      </c>
      <c r="D17" s="198"/>
      <c r="E17" s="198"/>
      <c r="F17" s="198"/>
      <c r="G17" s="31"/>
      <c r="H17" s="31"/>
      <c r="I17" s="31"/>
      <c r="J17" s="31"/>
      <c r="K17" s="31"/>
    </row>
    <row r="18" spans="1:13" ht="15" customHeight="1" x14ac:dyDescent="0.25">
      <c r="A18" s="51" t="str">
        <f>LEFT(A17,4)+1&amp;"–"&amp;RIGHT(A17,4)+5</f>
        <v>2029–2034</v>
      </c>
      <c r="B18" s="55">
        <v>297754</v>
      </c>
      <c r="C18" s="55">
        <v>4220</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7504</v>
      </c>
      <c r="C40" s="213"/>
      <c r="E40" s="32"/>
    </row>
    <row r="41" spans="1:13" ht="15.75" x14ac:dyDescent="0.25">
      <c r="A41" s="5" t="s">
        <v>191</v>
      </c>
      <c r="B41" s="197" t="str">
        <f>B10</f>
        <v>Office of Data and Innovation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7504</v>
      </c>
      <c r="C71" s="213"/>
    </row>
    <row r="72" spans="1:13" ht="15.75" x14ac:dyDescent="0.25">
      <c r="A72" s="5" t="s">
        <v>191</v>
      </c>
      <c r="B72" s="197" t="str">
        <f>B10</f>
        <v>Office of Data and Innovation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10" sqref="J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7504 - Office of Data and Innovation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0</v>
      </c>
      <c r="G10" s="58"/>
      <c r="H10" s="61">
        <f>IF('LS-Fund 0001 Journal Entries'!$F$8="Governmental Fund",SUM('LS-Fund 0001 Journal Entries'!$K$48,'LS-Fund 0001 Journal Entries'!K113),0)</f>
        <v>1725060</v>
      </c>
      <c r="I10" s="58"/>
      <c r="J10" s="61">
        <f>IF('LS-Fund 0001 Journal Entries'!$F$8="Governmental Fund",SUM('LS-Fund 0001 Journal Entries'!$J$68,'LS-Fund 0001 Journal Entries'!J96),0)</f>
        <v>209447</v>
      </c>
      <c r="K10" s="58"/>
      <c r="L10" s="63">
        <f>SUM(F10+H10-J10)</f>
        <v>1515613</v>
      </c>
      <c r="M10" s="58"/>
      <c r="N10" s="61">
        <f>IF('LS-Fund 0001 Journal Entries'!$F$8="Governmental Fund",'LS-Fund 0001 Journal Entries'!$K$76,0)</f>
        <v>223790</v>
      </c>
      <c r="O10" s="58"/>
      <c r="P10" s="63">
        <f>L10-N10</f>
        <v>1291823</v>
      </c>
      <c r="Q10" s="43"/>
    </row>
    <row r="11" spans="2:17" ht="19.5" thickTop="1" thickBot="1" x14ac:dyDescent="0.3">
      <c r="B11" s="41"/>
      <c r="C11" s="45" t="s">
        <v>18</v>
      </c>
      <c r="F11" s="62">
        <f>SUM(F10:F10)</f>
        <v>0</v>
      </c>
      <c r="G11" s="58"/>
      <c r="H11" s="62">
        <f>SUM(H10:H10)</f>
        <v>1725060</v>
      </c>
      <c r="I11" s="58"/>
      <c r="J11" s="62">
        <f>SUM(J10:J10)</f>
        <v>209447</v>
      </c>
      <c r="K11" s="58"/>
      <c r="L11" s="62">
        <f>SUM(L10:L10)</f>
        <v>1515613</v>
      </c>
      <c r="M11" s="58"/>
      <c r="N11" s="62">
        <f>SUM(N10:N10)</f>
        <v>223790</v>
      </c>
      <c r="O11" s="58"/>
      <c r="P11" s="62">
        <f>SUM(P10:P10)</f>
        <v>1291823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0" zoomScale="112" zoomScaleNormal="112" workbookViewId="0">
      <selection activeCell="B21" sqref="B21:L21"/>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0</v>
      </c>
      <c r="C16" s="116" t="s">
        <v>145</v>
      </c>
      <c r="D16" s="84">
        <f>IF('LS-Fund 0001 Journal Entries'!$F$8="Governmental Fund",'LS-Fund 0001 Journal Entries'!$K$48,0)</f>
        <v>1725060</v>
      </c>
      <c r="E16" s="118" t="s">
        <v>146</v>
      </c>
      <c r="F16" s="84">
        <f>IF('LS-Fund 0001 Journal Entries'!$F$8="Governmental Fund",'LS-Fund 0001 Journal Entries'!$J$68,0)</f>
        <v>209447</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1515613</v>
      </c>
      <c r="M16" s="86"/>
      <c r="N16" s="88">
        <f>SUM('LS-Department Note Disclosure'!B13:B36)</f>
        <v>1515613</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223790</v>
      </c>
      <c r="C42" s="92"/>
      <c r="E42" s="92"/>
      <c r="G42" s="115"/>
      <c r="H42" s="115"/>
      <c r="I42" s="115"/>
      <c r="J42" s="115"/>
      <c r="K42" s="92"/>
      <c r="L42" s="92"/>
      <c r="M42" s="93"/>
      <c r="N42" s="88">
        <f>'LS-Department Note Disclosure'!B13</f>
        <v>223790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0</v>
      </c>
      <c r="J66" s="97">
        <f>SUM(D66)</f>
        <v>0</v>
      </c>
      <c r="L66" s="98" t="str">
        <f>CONCATENATE("Balance July 1, ",LEFT('LS-Department Note Disclosure'!$B$8,4))</f>
        <v>Balance July 1, 2023</v>
      </c>
      <c r="N66" s="97">
        <f>'LS-Lease Liabilities'!F10</f>
        <v>0</v>
      </c>
      <c r="P66" s="89">
        <f>J66-N66</f>
        <v>0</v>
      </c>
    </row>
    <row r="67" spans="1:17" x14ac:dyDescent="0.25">
      <c r="B67" s="79" t="s">
        <v>156</v>
      </c>
      <c r="D67" s="97">
        <f>$D$16</f>
        <v>1725060</v>
      </c>
      <c r="E67" s="119" t="s">
        <v>145</v>
      </c>
      <c r="F67" s="79" t="s">
        <v>1681</v>
      </c>
      <c r="H67" s="97">
        <f>$J$16</f>
        <v>0</v>
      </c>
      <c r="J67" s="97">
        <f>SUM(D67,H67)</f>
        <v>1725060</v>
      </c>
      <c r="L67" s="98" t="s">
        <v>12</v>
      </c>
      <c r="N67" s="97">
        <f>'LS-Lease Liabilities'!H10</f>
        <v>1725060</v>
      </c>
      <c r="P67" s="89">
        <f t="shared" ref="P67:P69" si="0">J67-N67</f>
        <v>0</v>
      </c>
    </row>
    <row r="68" spans="1:17" x14ac:dyDescent="0.25">
      <c r="B68" s="79" t="s">
        <v>151</v>
      </c>
      <c r="D68" s="97">
        <f>$F$16</f>
        <v>209447</v>
      </c>
      <c r="E68" s="119" t="s">
        <v>145</v>
      </c>
      <c r="F68" s="79" t="s">
        <v>1678</v>
      </c>
      <c r="H68" s="97">
        <f>$H$16</f>
        <v>0</v>
      </c>
      <c r="J68" s="97">
        <f>SUM(D68,H68)</f>
        <v>209447</v>
      </c>
      <c r="L68" s="98" t="s">
        <v>13</v>
      </c>
      <c r="N68" s="97">
        <f>'LS-Lease Liabilities'!J10</f>
        <v>209447</v>
      </c>
      <c r="P68" s="89">
        <f t="shared" si="0"/>
        <v>0</v>
      </c>
    </row>
    <row r="69" spans="1:17" x14ac:dyDescent="0.25">
      <c r="B69" s="79" t="s">
        <v>155</v>
      </c>
      <c r="D69" s="97">
        <f>$B$42</f>
        <v>223790</v>
      </c>
      <c r="J69" s="97">
        <f>SUM(D69)</f>
        <v>223790</v>
      </c>
      <c r="L69" s="98" t="s">
        <v>14</v>
      </c>
      <c r="N69" s="97">
        <f>'LS-Lease Liabilities'!N10</f>
        <v>223790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2024-12-28T02:22:02Z</dcterms:modified>
</cp:coreProperties>
</file>