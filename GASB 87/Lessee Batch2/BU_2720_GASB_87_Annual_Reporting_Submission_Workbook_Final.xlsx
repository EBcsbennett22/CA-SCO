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2720 CHP\"/>
    </mc:Choice>
  </mc:AlternateContent>
  <xr:revisionPtr revIDLastSave="0" documentId="13_ncr:1_{8BEA5A30-F1D9-4A34-ABA9-C66ECADF203F}" xr6:coauthVersionLast="47" xr6:coauthVersionMax="47" xr10:uidLastSave="{00000000-0000-0000-0000-000000000000}"/>
  <bookViews>
    <workbookView xWindow="-120" yWindow="-120" windowWidth="24240" windowHeight="13140" tabRatio="921" firstSheet="2" activeTab="3" xr2:uid="{00000000-000D-0000-FFFF-FFFF00000000}"/>
  </bookViews>
  <sheets>
    <sheet name="Drop Down Menus" sheetId="1" state="hidden" r:id="rId1"/>
    <sheet name="qryIndex02a" sheetId="11" state="hidden" r:id="rId2"/>
    <sheet name="LS-Version Changes" sheetId="13" r:id="rId3"/>
    <sheet name="LS-Fund 0044 Journal Entries" sheetId="2" r:id="rId4"/>
    <sheet name="LS-Fund 0890 Journal Entries" sheetId="16" r:id="rId5"/>
    <sheet name="LS-Department Note Disclosure" sheetId="3" r:id="rId6"/>
    <sheet name="LS-Lease Liabilities" sheetId="4" r:id="rId7"/>
    <sheet name="LS-Check Figures  " sheetId="7"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Disclosure'!$A$1:$F$96</definedName>
    <definedName name="_xlnm.Print_Area" localSheetId="3">'LS-Fund 0044 Journal Entries'!$A$1:$R$130</definedName>
    <definedName name="_xlnm.Print_Area" localSheetId="4">'LS-Fund 0890 Journal Entries'!$A$1:$R$130</definedName>
    <definedName name="_xlnm.Print_Area" localSheetId="6">'LS-Lease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2" l="1"/>
  <c r="N22" i="16"/>
  <c r="K104" i="2"/>
  <c r="J96" i="2"/>
  <c r="J10" i="4" s="1"/>
  <c r="J63" i="2"/>
  <c r="J62" i="2"/>
  <c r="L62" i="2" s="1"/>
  <c r="K35" i="2"/>
  <c r="B42" i="7"/>
  <c r="J16" i="7"/>
  <c r="F16" i="7"/>
  <c r="D16" i="7"/>
  <c r="N10" i="4"/>
  <c r="H10" i="4"/>
  <c r="K129" i="16"/>
  <c r="K114" i="16"/>
  <c r="J114" i="16"/>
  <c r="K105" i="16"/>
  <c r="J105" i="16"/>
  <c r="K91" i="16"/>
  <c r="J91" i="16"/>
  <c r="K77" i="16"/>
  <c r="L77" i="16" s="1"/>
  <c r="J77" i="16"/>
  <c r="K70" i="16"/>
  <c r="J70" i="16"/>
  <c r="L69" i="16"/>
  <c r="K65" i="16"/>
  <c r="J65" i="16"/>
  <c r="B63" i="16"/>
  <c r="L62" i="16"/>
  <c r="K59" i="16"/>
  <c r="J59" i="16"/>
  <c r="K49" i="16"/>
  <c r="J49" i="16"/>
  <c r="K43" i="16"/>
  <c r="J43" i="16"/>
  <c r="K36" i="16"/>
  <c r="L36" i="16" s="1"/>
  <c r="J36" i="16"/>
  <c r="S25" i="16"/>
  <c r="Q24" i="16"/>
  <c r="S24" i="16" s="1"/>
  <c r="S23" i="16"/>
  <c r="K23" i="16"/>
  <c r="K128" i="16" s="1"/>
  <c r="S22" i="16"/>
  <c r="K22" i="16"/>
  <c r="K127" i="16" s="1"/>
  <c r="S21" i="16"/>
  <c r="K21" i="16"/>
  <c r="K126" i="16" s="1"/>
  <c r="S20" i="16"/>
  <c r="K20" i="16"/>
  <c r="K125" i="16" s="1"/>
  <c r="S19" i="16"/>
  <c r="P18" i="16"/>
  <c r="S18" i="16" s="1"/>
  <c r="S17" i="16"/>
  <c r="J17" i="16"/>
  <c r="K124" i="16" s="1"/>
  <c r="S16" i="16"/>
  <c r="J16" i="16"/>
  <c r="K123" i="16" s="1"/>
  <c r="S15" i="16"/>
  <c r="J15" i="16"/>
  <c r="K122" i="16" s="1"/>
  <c r="F9" i="16"/>
  <c r="C35" i="16" s="1"/>
  <c r="B63" i="2"/>
  <c r="J18" i="4"/>
  <c r="J14" i="4"/>
  <c r="H18" i="4"/>
  <c r="H14" i="4"/>
  <c r="N18" i="4"/>
  <c r="N14" i="4"/>
  <c r="F18" i="4"/>
  <c r="F14" i="4"/>
  <c r="S20" i="2"/>
  <c r="Q24" i="2"/>
  <c r="P18" i="2"/>
  <c r="H16" i="7" l="1"/>
  <c r="L69" i="2"/>
  <c r="L114" i="16"/>
  <c r="L105" i="16"/>
  <c r="L91" i="16"/>
  <c r="L70" i="16"/>
  <c r="L65" i="16"/>
  <c r="L59" i="16"/>
  <c r="L49" i="16"/>
  <c r="L43" i="16"/>
  <c r="K24" i="16"/>
  <c r="J18" i="16"/>
  <c r="B100" i="16"/>
  <c r="C104" i="16"/>
  <c r="C64" i="16"/>
  <c r="K129" i="2"/>
  <c r="K20" i="2"/>
  <c r="K125" i="2" s="1"/>
  <c r="K25" i="16" l="1"/>
  <c r="K26" i="16" s="1"/>
  <c r="J19" i="16"/>
  <c r="J26" i="16" s="1"/>
  <c r="J18" i="2"/>
  <c r="S25" i="2"/>
  <c r="S24" i="2"/>
  <c r="S23" i="2"/>
  <c r="K23" i="2"/>
  <c r="S22" i="2"/>
  <c r="K22" i="2"/>
  <c r="K127" i="2" s="1"/>
  <c r="S21" i="2"/>
  <c r="K21" i="2"/>
  <c r="K126" i="2" s="1"/>
  <c r="S19" i="2"/>
  <c r="S17" i="2"/>
  <c r="J17" i="2"/>
  <c r="K124" i="2" s="1"/>
  <c r="S16" i="2"/>
  <c r="J16" i="2"/>
  <c r="K123" i="2" s="1"/>
  <c r="S15" i="2"/>
  <c r="J15" i="2"/>
  <c r="K122" i="2" s="1"/>
  <c r="F10" i="4" l="1"/>
  <c r="B16" i="7"/>
  <c r="L26" i="16"/>
  <c r="K128" i="2"/>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<sst xmlns="http://schemas.openxmlformats.org/spreadsheetml/2006/main" count="7851" uniqueCount="1716">
  <si>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</si>
  <si>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</si>
  <si>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</si>
  <si>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</si>
  <si>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</si>
  <si>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</si>
  <si>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</si>
  <si>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</si>
  <si>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</si>
  <si>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</si>
  <si>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</si>
  <si>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</si>
  <si>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</si>
  <si>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</si>
  <si>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</si>
  <si>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</si>
  <si>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</si>
  <si>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</si>
  <si>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</si>
  <si>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</si>
  <si>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</si>
  <si>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</si>
  <si>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</si>
  <si>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</si>
  <si>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</si>
  <si>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</si>
  <si>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</si>
  <si>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</si>
  <si>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</si>
  <si>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</si>
  <si>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</si>
  <si>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</si>
  <si>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</si>
  <si>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</si>
  <si>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</si>
  <si>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</si>
  <si>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</si>
  <si>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</si>
  <si>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</si>
  <si>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</si>
  <si>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</si>
  <si>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</si>
  <si>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</si>
  <si>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</si>
  <si>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</si>
  <si>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</si>
  <si>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</si>
  <si>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</si>
  <si>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</si>
  <si>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</si>
  <si>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</si>
  <si>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</si>
  <si>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</si>
  <si>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</si>
  <si>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</si>
  <si>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</si>
  <si>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</si>
  <si>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</si>
  <si>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</si>
  <si>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</si>
  <si>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</si>
  <si>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</si>
  <si>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</si>
  <si>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</si>
  <si>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</si>
  <si>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</si>
  <si>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</si>
  <si>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</si>
  <si>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</si>
  <si>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</si>
  <si>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</si>
  <si>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</si>
  <si>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</si>
  <si>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</si>
  <si>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</si>
  <si>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</si>
  <si>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</si>
  <si>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</si>
  <si>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</si>
  <si>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</si>
  <si>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</si>
  <si>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</si>
  <si>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</si>
  <si>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</si>
  <si>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</si>
  <si>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</si>
  <si>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</si>
  <si>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</si>
  <si>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</si>
  <si>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</si>
  <si>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</si>
  <si>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</si>
  <si>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</si>
  <si>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</si>
  <si>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</si>
  <si>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</si>
  <si>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</si>
  <si>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</si>
  <si>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</si>
  <si>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</si>
  <si>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</si>
  <si>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</si>
  <si>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</si>
  <si>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</si>
  <si>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</si>
  <si>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</si>
  <si>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</si>
  <si>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</si>
  <si>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</si>
  <si>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</si>
  <si>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</si>
  <si>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</si>
  <si>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</si>
  <si>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</si>
  <si>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</si>
  <si>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</si>
  <si>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</si>
  <si>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</si>
  <si>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</si>
  <si>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</si>
  <si>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</si>
  <si>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</si>
  <si>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</si>
  <si>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</si>
  <si>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</si>
  <si>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</si>
  <si>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</si>
  <si>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</si>
  <si>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</si>
  <si>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</si>
  <si>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</si>
  <si>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</si>
  <si>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</si>
  <si>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</si>
  <si>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</si>
  <si>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</si>
  <si>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</si>
  <si>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</si>
  <si>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</si>
  <si>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</si>
  <si>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</si>
  <si>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</si>
  <si>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</si>
  <si>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</si>
  <si>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</si>
  <si>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</si>
  <si>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</si>
  <si>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</si>
  <si>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</si>
  <si>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</si>
  <si>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</si>
  <si>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</si>
  <si>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</si>
  <si>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</si>
  <si>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</si>
  <si>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</si>
  <si>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</si>
  <si>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</si>
  <si>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</si>
  <si>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</si>
  <si>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</si>
  <si>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</si>
  <si>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</si>
  <si>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</si>
  <si>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</si>
  <si>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</si>
  <si>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</si>
  <si>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</si>
  <si>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</si>
  <si>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</si>
  <si>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</si>
  <si>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</si>
  <si>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</si>
  <si>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</si>
  <si>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</si>
  <si>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</si>
  <si>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</si>
  <si>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</si>
  <si>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</si>
  <si>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</si>
  <si>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</si>
  <si>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</si>
  <si>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</si>
  <si>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</si>
  <si>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</si>
  <si>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</si>
  <si>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</si>
  <si>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</si>
  <si>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</si>
  <si>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</si>
  <si>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</si>
  <si>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</si>
  <si>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</si>
  <si>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</si>
  <si>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</si>
  <si>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</si>
  <si>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</si>
  <si>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</si>
  <si>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</si>
  <si>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</si>
  <si>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</si>
  <si>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</si>
  <si>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</si>
  <si>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</si>
  <si>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</si>
  <si>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</si>
  <si>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</si>
  <si>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</si>
  <si>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</si>
  <si>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</si>
  <si>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</si>
  <si>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</si>
  <si>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</si>
  <si>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</si>
  <si>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</si>
  <si>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</si>
  <si>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</si>
  <si>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</si>
  <si>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</si>
  <si>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</si>
  <si>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</si>
  <si>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</si>
  <si>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</si>
  <si>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</si>
  <si>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</si>
  <si>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</si>
  <si>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</si>
  <si>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</si>
  <si>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</si>
  <si>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</si>
  <si>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</si>
  <si>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</si>
  <si>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</si>
  <si>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</si>
  <si>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</si>
  <si>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</si>
  <si>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</si>
  <si>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</si>
  <si>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</si>
  <si>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</si>
  <si>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</si>
  <si>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</si>
  <si>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</si>
  <si>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</si>
  <si>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</si>
  <si>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</si>
  <si>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</si>
  <si>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</si>
  <si>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</si>
  <si>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</si>
  <si>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</si>
  <si>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</si>
  <si>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</si>
  <si>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</si>
  <si>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</si>
  <si>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</si>
  <si>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</si>
  <si>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</si>
  <si>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</si>
  <si>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</si>
  <si>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</si>
  <si>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</si>
  <si>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</si>
  <si>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</si>
  <si>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</si>
  <si>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</si>
  <si>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</si>
  <si>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</si>
  <si>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</si>
  <si>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</si>
  <si>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</si>
  <si>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</si>
  <si>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</si>
  <si>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</si>
  <si>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</si>
  <si>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</si>
  <si>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</si>
  <si>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</si>
  <si>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</si>
  <si>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</si>
  <si>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</si>
  <si>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</si>
  <si>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</si>
  <si>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</si>
  <si>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</si>
  <si>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</si>
  <si>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</si>
  <si>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</si>
  <si>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</si>
  <si>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</si>
  <si>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</si>
  <si>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</si>
  <si>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</si>
  <si>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</si>
  <si>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</si>
  <si>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</si>
  <si>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</si>
  <si>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</si>
  <si>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</si>
  <si>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</si>
  <si>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</si>
  <si>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</si>
  <si>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</si>
  <si>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</si>
  <si>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</si>
  <si>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</si>
  <si>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</si>
  <si>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</si>
  <si>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</si>
  <si>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</si>
  <si>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</si>
  <si>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</si>
  <si>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</si>
  <si>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</si>
  <si>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</si>
  <si>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</si>
  <si>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</si>
  <si>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</si>
  <si>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</si>
  <si>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</si>
  <si>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</si>
  <si>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</si>
  <si>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</si>
  <si>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</si>
  <si>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</si>
  <si>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</si>
  <si>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</si>
  <si>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</si>
  <si>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</si>
  <si>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</si>
  <si>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</si>
  <si>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</si>
  <si>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</si>
  <si>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</si>
  <si>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</si>
  <si>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</si>
  <si>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</si>
  <si>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</si>
  <si>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</si>
  <si>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</si>
  <si>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</si>
  <si>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</si>
  <si>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</si>
  <si>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</si>
  <si>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</si>
  <si>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</si>
  <si>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</si>
  <si>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</si>
  <si>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</si>
  <si>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</si>
  <si>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</si>
  <si>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</si>
  <si>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</si>
  <si>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</si>
  <si>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</si>
  <si>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</si>
  <si>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</si>
  <si>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</si>
  <si>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</si>
  <si>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</si>
  <si>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</si>
  <si>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</si>
  <si>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</si>
  <si>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</si>
  <si>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</si>
  <si>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</si>
  <si>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</si>
  <si>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</si>
  <si>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</si>
  <si>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</si>
  <si>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</si>
  <si>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</si>
  <si>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</si>
  <si>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</si>
  <si>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</si>
  <si>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</si>
  <si>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</si>
  <si>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</si>
  <si>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</si>
  <si>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</si>
  <si>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</si>
  <si>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</si>
  <si>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</si>
  <si>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</si>
  <si>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</si>
  <si>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</si>
  <si>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</si>
  <si>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</si>
  <si>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</si>
  <si>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</si>
  <si>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</si>
  <si>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</si>
  <si>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</si>
  <si>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</si>
  <si>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</si>
  <si>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</si>
  <si>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</si>
  <si>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</si>
  <si>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</si>
  <si>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</si>
  <si>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</si>
  <si>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</si>
  <si>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</si>
  <si>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</si>
  <si>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</si>
  <si>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</si>
  <si>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</si>
  <si>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</si>
  <si>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</si>
  <si>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</si>
  <si>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</si>
  <si>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</si>
  <si>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</si>
  <si>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</si>
  <si>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</si>
  <si>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</si>
  <si>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</si>
  <si>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</si>
  <si>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</si>
  <si>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</si>
  <si>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</si>
  <si>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</si>
  <si>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</si>
  <si>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</si>
  <si>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</si>
  <si>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</si>
  <si>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</si>
  <si>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</si>
  <si>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</si>
  <si>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</si>
  <si>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</si>
  <si>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</si>
  <si>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</si>
  <si>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</si>
  <si>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</si>
  <si>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</si>
  <si>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</si>
  <si>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</si>
  <si>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</si>
  <si>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</si>
  <si>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</si>
  <si>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</si>
  <si>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</si>
  <si>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</si>
  <si>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</si>
  <si>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</si>
  <si>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</si>
  <si>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</si>
  <si>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</si>
  <si>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</si>
  <si>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</si>
  <si>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</si>
  <si>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</si>
  <si>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</si>
  <si>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</si>
  <si>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</si>
  <si>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</si>
  <si>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</si>
  <si>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</si>
  <si>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</si>
  <si>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</si>
  <si>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</si>
  <si>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</si>
  <si>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</si>
  <si>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</si>
  <si>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</si>
  <si>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</si>
  <si>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</si>
  <si>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</si>
  <si>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</si>
  <si>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</si>
  <si>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</si>
  <si>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</si>
  <si>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</si>
  <si>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</si>
  <si>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</si>
  <si>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</si>
  <si>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</si>
  <si>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</si>
  <si>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</si>
  <si>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</si>
  <si>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</si>
  <si>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</si>
  <si>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</si>
  <si>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</si>
  <si>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</si>
  <si>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</si>
  <si>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</si>
  <si>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</si>
  <si>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</si>
  <si>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</si>
  <si>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</si>
  <si>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</si>
  <si>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</si>
  <si>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</si>
  <si>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</si>
  <si>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</si>
  <si>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</si>
  <si>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</si>
  <si>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</si>
  <si>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</si>
  <si>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</si>
  <si>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</si>
  <si>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</si>
  <si>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</si>
  <si>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</si>
  <si>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</si>
  <si>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</si>
  <si>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</si>
  <si>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</si>
  <si>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</si>
  <si>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</si>
  <si>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</si>
  <si>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</si>
  <si>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</si>
  <si>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</si>
  <si>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</si>
  <si>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</si>
  <si>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</si>
  <si>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</si>
  <si>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</si>
  <si>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</si>
  <si>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</si>
  <si>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</si>
  <si>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</si>
  <si>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</si>
  <si>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</si>
  <si>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</si>
  <si>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</si>
  <si>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</si>
  <si>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</si>
  <si>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</si>
  <si>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</si>
  <si>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</si>
  <si>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</si>
  <si>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</si>
  <si>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</si>
  <si>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</si>
  <si>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</si>
  <si>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</si>
  <si>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</si>
  <si>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</si>
  <si>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</si>
  <si>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</si>
  <si>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</si>
  <si>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</si>
  <si>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</si>
  <si>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</si>
  <si>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</si>
  <si>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</si>
  <si>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</si>
  <si>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</si>
  <si>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</si>
  <si>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</si>
  <si>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</si>
  <si>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</si>
  <si>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</si>
  <si>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</si>
  <si>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</si>
  <si>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</si>
  <si>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</si>
  <si>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</si>
  <si>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</si>
  <si>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</si>
  <si>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</si>
  <si>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</si>
  <si>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</si>
  <si>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</si>
  <si>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</si>
  <si>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</si>
  <si>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</si>
  <si>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</si>
  <si>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</si>
  <si>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</si>
  <si>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</si>
  <si>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</si>
  <si>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</si>
  <si>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</si>
  <si>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</si>
  <si>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</si>
  <si>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</si>
  <si>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</si>
  <si>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</si>
  <si>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</si>
  <si>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</si>
  <si>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</si>
  <si>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</si>
  <si>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</si>
  <si>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</si>
  <si>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</si>
  <si>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</si>
  <si>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</si>
  <si>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</si>
  <si>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</si>
  <si>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</si>
  <si>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</si>
  <si>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</si>
  <si>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</si>
  <si>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</si>
  <si>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</si>
  <si>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</si>
  <si>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</si>
  <si>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</si>
  <si>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</si>
  <si>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</si>
  <si>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</si>
  <si>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</si>
  <si>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</si>
  <si>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</si>
  <si>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</si>
  <si>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</si>
  <si>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</si>
  <si>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</si>
  <si>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</si>
  <si>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</si>
  <si>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</si>
  <si>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</si>
  <si>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</si>
  <si>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</si>
  <si>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</si>
  <si>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</si>
  <si>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</si>
  <si>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</si>
  <si>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</si>
  <si>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</si>
  <si>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</si>
  <si>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</si>
  <si>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</si>
  <si>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</si>
  <si>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</si>
  <si>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</si>
  <si>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</si>
  <si>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</si>
  <si>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</si>
  <si>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</si>
  <si>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</si>
  <si>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</si>
  <si>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</si>
  <si>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</si>
  <si>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</si>
  <si>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</si>
  <si>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</si>
  <si>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</si>
  <si>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</si>
  <si>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</si>
  <si>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</si>
  <si>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</si>
  <si>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</si>
  <si>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</si>
  <si>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</si>
  <si>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</si>
  <si>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</si>
  <si>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</si>
  <si>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</si>
  <si>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</si>
  <si>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</si>
  <si>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</si>
  <si>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</si>
  <si>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</si>
  <si>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</si>
  <si>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</si>
  <si>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</si>
  <si>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</si>
  <si>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</si>
  <si>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</si>
  <si>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</si>
  <si>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</si>
  <si>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</si>
  <si>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</si>
  <si>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</si>
  <si>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</si>
  <si>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</si>
  <si>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</si>
  <si>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</si>
  <si>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</si>
  <si>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</si>
  <si>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</si>
  <si>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</si>
  <si>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</si>
  <si>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</si>
  <si>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</si>
  <si>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</si>
  <si>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</si>
  <si>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</si>
  <si>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</si>
  <si>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</si>
  <si>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</si>
  <si>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</si>
  <si>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</si>
  <si>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</si>
  <si>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</si>
  <si>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</si>
  <si>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</si>
  <si>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</si>
  <si>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</si>
  <si>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</si>
  <si>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</si>
  <si>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</si>
  <si>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</si>
  <si>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</si>
  <si>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</si>
  <si>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</si>
  <si>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</si>
  <si>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</si>
  <si>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</si>
  <si>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</si>
  <si>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</si>
  <si>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</si>
  <si>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</si>
  <si>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</si>
  <si>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</si>
  <si>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</si>
  <si>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</si>
  <si>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</si>
  <si>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</si>
  <si>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</si>
  <si>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</si>
  <si>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</si>
  <si>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</si>
  <si>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</si>
  <si>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</si>
  <si>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</si>
  <si>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</si>
  <si>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</si>
  <si>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</si>
  <si>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</si>
  <si>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</si>
  <si>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</si>
  <si>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</si>
  <si>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</si>
  <si>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</si>
  <si>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</si>
  <si>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</si>
  <si>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</si>
  <si>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</si>
  <si>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</si>
  <si>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</si>
  <si>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</si>
  <si>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</si>
  <si>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</si>
  <si>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</si>
  <si>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</si>
  <si>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</si>
  <si>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</si>
  <si>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</si>
  <si>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</si>
  <si>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</si>
  <si>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</si>
  <si>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</si>
  <si>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</si>
  <si>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</si>
  <si>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</si>
  <si>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</si>
  <si>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</si>
  <si>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</si>
  <si>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</si>
  <si>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</si>
  <si>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</si>
  <si>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</si>
  <si>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</si>
  <si>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</si>
  <si>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</si>
  <si>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</si>
  <si>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</si>
  <si>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</si>
  <si>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</si>
  <si>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</si>
  <si>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</si>
  <si>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</si>
  <si>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</si>
  <si>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</si>
  <si>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</si>
  <si>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</si>
  <si>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</si>
  <si>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</si>
  <si>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</si>
  <si>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</si>
  <si>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</si>
  <si>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</si>
  <si>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</si>
  <si>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</si>
  <si>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</si>
  <si>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</si>
  <si>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</si>
  <si>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</si>
  <si>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</si>
  <si>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</si>
  <si>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</si>
  <si>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</si>
  <si>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</si>
  <si>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</si>
  <si>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</si>
  <si>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</si>
  <si>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</si>
  <si>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</si>
  <si>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</si>
  <si>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</si>
  <si>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</si>
  <si>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</si>
  <si>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</si>
  <si>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</si>
  <si>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</si>
  <si>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</si>
  <si>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</si>
  <si>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</si>
  <si>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</si>
  <si>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</si>
  <si>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</si>
  <si>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</si>
  <si>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</si>
  <si>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</si>
  <si>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</si>
  <si>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</si>
  <si>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</si>
  <si>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</si>
  <si>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</si>
  <si>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</si>
  <si>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</si>
  <si>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</si>
  <si>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</si>
  <si>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</si>
  <si>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</si>
  <si>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</si>
  <si>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</si>
  <si>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</si>
  <si>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</si>
  <si>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</si>
  <si>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</si>
  <si>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</si>
  <si>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</si>
  <si>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</si>
  <si>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</si>
  <si>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</si>
  <si>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</si>
  <si>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</si>
  <si>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</si>
  <si>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</si>
  <si>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</si>
  <si>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</si>
  <si>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</si>
  <si>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</si>
  <si>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</si>
  <si>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</si>
  <si>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</si>
  <si>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</si>
  <si>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</si>
  <si>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</si>
  <si>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</si>
  <si>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</si>
  <si>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</si>
  <si>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</si>
  <si>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</si>
  <si>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</si>
  <si>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</si>
  <si>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</si>
  <si>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</si>
  <si>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</si>
  <si>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</si>
  <si>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</si>
  <si>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</si>
  <si>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</si>
  <si>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</si>
  <si>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</si>
  <si>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</si>
  <si>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</si>
  <si>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</si>
  <si>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</si>
  <si>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</si>
  <si>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</si>
  <si>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</si>
  <si>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</si>
  <si>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</si>
  <si>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</si>
  <si>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</si>
  <si>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</si>
  <si>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</si>
  <si>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</si>
  <si>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</si>
  <si>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</si>
  <si>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</si>
  <si>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</si>
  <si>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</si>
  <si>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</si>
  <si>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</si>
  <si>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</si>
  <si>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</si>
  <si>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</si>
  <si>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</si>
  <si>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</si>
  <si>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</si>
  <si>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</si>
  <si>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</si>
  <si>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</si>
  <si>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</si>
  <si>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</si>
  <si>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</si>
  <si>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</si>
  <si>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</si>
  <si>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</si>
  <si>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</si>
  <si>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</si>
  <si>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</si>
  <si>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</si>
  <si>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</si>
  <si>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</si>
  <si>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</si>
  <si>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</si>
  <si>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</si>
  <si>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</si>
  <si>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</si>
  <si>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</si>
  <si>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</si>
  <si>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</si>
  <si>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</si>
  <si>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</si>
  <si>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</si>
  <si>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</si>
  <si>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</si>
  <si>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</si>
  <si>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</si>
  <si>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</si>
  <si>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</si>
  <si>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</si>
  <si>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</si>
  <si>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</si>
  <si>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</si>
  <si>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</si>
  <si>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</si>
  <si>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</si>
  <si>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</si>
  <si>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</si>
  <si>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</si>
  <si>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</si>
  <si>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</si>
  <si>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</si>
  <si>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</si>
  <si>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</si>
  <si>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</si>
  <si>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</si>
  <si>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</si>
  <si>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</si>
  <si>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</si>
  <si>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</si>
  <si>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</si>
  <si>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</si>
  <si>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</si>
  <si>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</si>
  <si>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</si>
  <si>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</si>
  <si>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</si>
  <si>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</si>
  <si>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</si>
  <si>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</si>
  <si>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</si>
  <si>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</si>
  <si>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</si>
  <si>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</si>
  <si>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</si>
  <si>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</si>
  <si>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</si>
  <si>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</si>
  <si>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</si>
  <si>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</si>
  <si>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</si>
  <si>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</si>
  <si>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</si>
  <si>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</si>
  <si>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</si>
  <si>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</si>
  <si>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</si>
  <si>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</si>
  <si>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</si>
  <si>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</si>
  <si>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</si>
  <si>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</si>
  <si>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</si>
  <si>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</si>
  <si>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</si>
  <si>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</si>
  <si>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</si>
  <si>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</si>
  <si>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</si>
  <si>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</si>
  <si>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</si>
  <si>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</si>
  <si>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</si>
  <si>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</si>
  <si>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</si>
  <si>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</si>
  <si>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</si>
  <si>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</si>
  <si>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</si>
  <si>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</si>
  <si>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</si>
  <si>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</si>
  <si>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</si>
  <si>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</si>
  <si>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</si>
  <si>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</si>
  <si>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</si>
  <si>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</si>
  <si>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</si>
  <si>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</si>
  <si>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</si>
  <si>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</si>
  <si>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</si>
  <si>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</si>
  <si>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</si>
  <si>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</si>
  <si>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</si>
  <si>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</si>
  <si>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</si>
  <si>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</si>
  <si>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</si>
  <si>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</si>
  <si>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</si>
  <si>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</si>
  <si>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</si>
  <si>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</si>
  <si>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</si>
  <si>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</si>
  <si>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</si>
  <si>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</si>
  <si>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</si>
  <si>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</si>
  <si>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</si>
  <si>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</si>
  <si>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</si>
  <si>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</si>
  <si>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</si>
  <si>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</si>
  <si>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</si>
  <si>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</si>
  <si>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</si>
  <si>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</si>
  <si>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</si>
  <si>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</si>
  <si>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</si>
  <si>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</si>
  <si>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</si>
  <si>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</si>
  <si>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</si>
  <si>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</si>
  <si>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</si>
  <si>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</si>
  <si>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</si>
  <si>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</si>
  <si>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</si>
  <si>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</si>
  <si>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</si>
  <si>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</si>
  <si>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</si>
  <si>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</si>
  <si>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</si>
  <si>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</si>
  <si>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</si>
  <si>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</si>
  <si>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</si>
  <si>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</si>
  <si>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</si>
  <si>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</si>
  <si>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</si>
  <si>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</si>
  <si>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</si>
  <si>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</si>
  <si>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</si>
  <si>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</si>
  <si>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</si>
  <si>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</si>
  <si>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</si>
  <si>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</si>
  <si>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</si>
  <si>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</si>
  <si>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</si>
  <si>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</si>
  <si>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</si>
  <si>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</si>
  <si>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</si>
  <si>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</si>
  <si>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</si>
  <si>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</si>
  <si>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</si>
  <si>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</si>
  <si>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</si>
  <si>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</si>
  <si>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</si>
  <si>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</si>
  <si>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</si>
  <si>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</si>
  <si>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</si>
  <si>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</si>
  <si>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</si>
  <si>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</si>
  <si>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</si>
  <si>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</si>
  <si>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</si>
  <si>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</si>
  <si>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</si>
  <si>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</si>
  <si>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</si>
  <si>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</si>
  <si>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</si>
  <si>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</si>
  <si>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</si>
  <si>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</si>
  <si>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</si>
  <si>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</si>
  <si>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</si>
  <si>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</si>
  <si>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</si>
  <si>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</si>
  <si>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</si>
  <si>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</si>
  <si>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</si>
  <si>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</si>
  <si>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</si>
  <si>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</si>
  <si>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</si>
  <si>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</si>
  <si>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</si>
  <si>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</si>
  <si>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</si>
  <si>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</si>
  <si>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</si>
  <si>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</si>
  <si>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</si>
  <si>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</si>
  <si>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</si>
  <si>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</si>
  <si>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</si>
  <si>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</si>
  <si>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</si>
  <si>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</si>
  <si>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</si>
  <si>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</si>
  <si>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</si>
  <si>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</si>
  <si>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</si>
  <si>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</si>
  <si>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</si>
  <si>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</si>
  <si>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</si>
  <si>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</si>
  <si>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</si>
  <si>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</si>
  <si>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</si>
  <si>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</si>
  <si>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</si>
  <si>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</si>
  <si>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</si>
  <si>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</si>
  <si>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</si>
  <si>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</si>
  <si>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</si>
  <si>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</si>
  <si>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</si>
  <si>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</si>
  <si>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</si>
  <si>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</si>
  <si>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</si>
  <si>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</si>
  <si>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</si>
  <si>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</si>
  <si>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</si>
  <si>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</si>
  <si>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</si>
  <si>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</si>
  <si>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</si>
  <si>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</si>
  <si>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</si>
  <si>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</si>
  <si>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</si>
  <si>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</si>
  <si>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</si>
  <si>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</si>
  <si>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</si>
  <si>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</si>
  <si>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</si>
  <si>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</si>
  <si>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</si>
  <si>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</si>
  <si>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</si>
  <si>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</si>
  <si>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</si>
  <si>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</si>
  <si>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</si>
  <si>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</si>
  <si>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</si>
  <si>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</si>
  <si>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</si>
  <si>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</si>
  <si>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</si>
  <si>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</si>
  <si>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</si>
  <si>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</si>
  <si>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</si>
  <si>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</si>
  <si>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</si>
  <si>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</si>
  <si>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</si>
  <si>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</si>
  <si>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</si>
  <si>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</si>
  <si>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</si>
  <si>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</si>
  <si>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</si>
  <si>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</si>
  <si>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</si>
  <si>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</si>
  <si>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</si>
  <si>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</si>
  <si>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</si>
  <si>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</si>
  <si>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</si>
  <si>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</si>
  <si>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</si>
  <si>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</si>
  <si>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</si>
  <si>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</si>
  <si>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</si>
  <si>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</si>
  <si>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</si>
  <si>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</si>
  <si>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</si>
  <si>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</si>
  <si>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</si>
  <si>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</si>
  <si>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</si>
  <si>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</si>
  <si>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</si>
  <si>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</si>
  <si>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</si>
  <si>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</si>
  <si>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</si>
  <si>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</si>
  <si>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</si>
  <si>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</si>
  <si>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</si>
  <si>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</si>
  <si>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</si>
  <si>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</si>
  <si>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</si>
  <si>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</si>
  <si>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</si>
  <si>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</si>
  <si>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</si>
  <si>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</si>
  <si>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</si>
  <si>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</si>
  <si>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</si>
  <si>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</si>
  <si>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</si>
  <si>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</si>
  <si>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</si>
  <si>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</si>
  <si>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</si>
  <si>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</si>
  <si>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</si>
  <si>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</si>
  <si>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</si>
  <si>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</si>
  <si>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</si>
  <si>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</si>
  <si>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</si>
  <si>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</si>
  <si>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</si>
  <si>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</si>
  <si>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</si>
  <si>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</si>
  <si>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</si>
  <si>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</si>
  <si>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</si>
  <si>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</si>
  <si>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</si>
  <si>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</si>
  <si>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</si>
  <si>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</si>
  <si>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</si>
  <si>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</si>
  <si>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</si>
  <si>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</si>
  <si>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</si>
  <si>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</si>
  <si>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</si>
  <si>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</si>
  <si>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</si>
  <si>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</si>
  <si>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</si>
  <si>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</si>
  <si>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</si>
  <si>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</si>
  <si>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</si>
  <si>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</si>
  <si>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</si>
  <si>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</si>
  <si>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</si>
  <si>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</si>
  <si>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</si>
  <si>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</si>
  <si>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</si>
  <si>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</si>
  <si>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</si>
  <si>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</si>
  <si>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</si>
  <si>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</si>
  <si>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</si>
  <si>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</si>
  <si>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</si>
  <si>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</si>
  <si>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</si>
  <si>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</si>
  <si>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</si>
  <si>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</si>
  <si>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</si>
  <si>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</si>
  <si>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</si>
  <si>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</si>
  <si>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</si>
  <si>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</si>
  <si>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</si>
  <si>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</si>
  <si>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</si>
  <si>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</si>
  <si>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</si>
  <si>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</si>
  <si>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</si>
  <si>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</si>
  <si>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</si>
  <si>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</si>
  <si>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</si>
  <si>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</si>
  <si>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</si>
  <si>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</si>
  <si>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</si>
  <si>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</si>
  <si>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</si>
  <si>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</si>
  <si>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</si>
  <si>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</si>
  <si>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</si>
  <si>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</si>
  <si>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</si>
  <si>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</si>
  <si>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</si>
  <si>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</si>
  <si>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</si>
  <si>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</si>
  <si>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</si>
  <si>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</si>
  <si>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</si>
  <si>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</si>
  <si>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</si>
  <si>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</si>
  <si>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</si>
  <si>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</si>
  <si>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</si>
  <si>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</si>
  <si>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</si>
  <si>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</si>
  <si>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</si>
  <si>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</si>
  <si>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</si>
  <si>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</si>
  <si>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</si>
  <si>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</si>
  <si>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</si>
  <si>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</si>
  <si>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</si>
  <si>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</si>
  <si>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</si>
  <si>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</si>
  <si>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</si>
  <si>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</si>
  <si>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</si>
  <si>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</si>
  <si>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</si>
  <si>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</si>
  <si>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</si>
  <si>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</si>
  <si>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</si>
  <si>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</si>
  <si>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</si>
  <si>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</si>
  <si>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</si>
  <si>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</si>
  <si>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</si>
  <si>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</si>
  <si>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</si>
  <si>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</si>
  <si>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</si>
  <si>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</si>
  <si>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</si>
  <si>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</si>
  <si>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</si>
  <si>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</si>
  <si>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</si>
  <si>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</si>
  <si>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</si>
  <si>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</si>
  <si>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</si>
  <si>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</si>
  <si>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</si>
  <si>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</si>
  <si>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</si>
  <si>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</si>
  <si>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</si>
  <si>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</si>
  <si>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</si>
  <si>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</si>
  <si>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</si>
  <si>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</si>
  <si>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</si>
  <si>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</si>
  <si>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</si>
  <si>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</si>
  <si>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</si>
  <si>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</si>
  <si>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</si>
  <si>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</si>
  <si>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</si>
  <si>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</si>
  <si>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</si>
  <si>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</si>
  <si>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</si>
  <si>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</si>
  <si>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</si>
  <si>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</si>
  <si>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</si>
  <si>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</si>
  <si>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</si>
  <si>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</si>
  <si>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</si>
  <si>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</si>
  <si>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</si>
  <si>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</si>
  <si>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</si>
  <si>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</si>
  <si>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</si>
  <si>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</si>
  <si>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</si>
  <si>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</si>
  <si>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</si>
  <si>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</si>
  <si>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</si>
  <si>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</si>
  <si>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</si>
  <si>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</si>
  <si>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</si>
  <si>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</si>
  <si>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</si>
  <si>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</si>
  <si>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</si>
  <si>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</si>
  <si>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</si>
  <si>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</si>
  <si>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</si>
  <si>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</si>
  <si>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</si>
  <si>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</si>
  <si>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</si>
  <si>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</si>
  <si>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</si>
  <si>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</si>
  <si>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</si>
  <si>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</si>
  <si>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</si>
  <si>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</si>
  <si>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</si>
  <si>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</si>
  <si>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</si>
  <si>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</si>
  <si>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</si>
  <si>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</si>
  <si>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</si>
  <si>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</si>
  <si>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</si>
  <si>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</si>
  <si>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</si>
  <si>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</si>
  <si>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</si>
  <si>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</si>
  <si>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</si>
  <si>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</si>
  <si>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</si>
  <si>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</si>
  <si>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</si>
  <si>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</si>
  <si>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</si>
  <si>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</si>
  <si>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</si>
  <si>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</si>
  <si>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</si>
  <si>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</si>
  <si>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</si>
  <si>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</si>
  <si>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</si>
  <si>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</si>
  <si>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</si>
  <si>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</si>
  <si>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</si>
  <si>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</si>
  <si>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</si>
  <si>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</si>
  <si>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</si>
  <si>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</si>
  <si>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</si>
  <si>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</si>
  <si>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</si>
  <si>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</si>
  <si>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</si>
  <si>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</si>
  <si>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</si>
  <si>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</si>
  <si>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</si>
  <si>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</si>
  <si>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</si>
  <si>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</si>
  <si>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</si>
  <si>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</si>
  <si>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</si>
  <si>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</si>
  <si>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</si>
  <si>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</si>
  <si>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</si>
  <si>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</si>
  <si>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</si>
  <si>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</si>
  <si>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</si>
  <si>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</si>
  <si>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</si>
  <si>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</si>
  <si>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</si>
  <si>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</si>
  <si>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</si>
  <si>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</si>
  <si>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</si>
  <si>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</si>
  <si>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</si>
  <si>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</si>
  <si>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</si>
  <si>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</si>
  <si>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</si>
  <si>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</si>
  <si>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</si>
  <si>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</si>
  <si>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</si>
  <si>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</si>
  <si>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</si>
  <si>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</si>
  <si>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</si>
  <si>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</si>
  <si>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</si>
  <si>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</si>
  <si>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</si>
  <si>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</si>
  <si>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</si>
  <si>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</si>
  <si>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</si>
  <si>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</si>
  <si>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</si>
  <si>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</si>
  <si>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</si>
  <si>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</si>
  <si>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</si>
  <si>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</si>
  <si>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</si>
  <si>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</si>
  <si>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</si>
  <si>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</si>
  <si>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</si>
  <si>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</si>
  <si>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</si>
  <si>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</si>
  <si>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</si>
  <si>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</si>
  <si>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</si>
  <si>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</si>
  <si>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</si>
  <si>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</si>
  <si>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</si>
  <si>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</si>
  <si>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</si>
  <si>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</si>
  <si>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</si>
  <si>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</si>
  <si>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</si>
  <si>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</si>
  <si>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</si>
  <si>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</si>
  <si>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</si>
  <si>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</si>
  <si>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</si>
  <si>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</si>
  <si>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</si>
  <si>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</si>
  <si>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</si>
  <si>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</si>
  <si>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</si>
  <si>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</si>
  <si>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</si>
  <si>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</si>
  <si>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</si>
  <si>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</si>
  <si>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</si>
  <si>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</si>
  <si>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</si>
  <si>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</si>
  <si>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</si>
  <si>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</si>
  <si>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</si>
  <si>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</si>
  <si>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</si>
  <si>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</si>
  <si>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</si>
  <si>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</si>
  <si>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</si>
  <si>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</si>
  <si>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</si>
  <si>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</si>
  <si>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</si>
  <si>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</si>
  <si>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</si>
  <si>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</si>
  <si>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</si>
  <si>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</si>
  <si>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</si>
  <si>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</si>
  <si>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</si>
  <si>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</si>
  <si>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</si>
  <si>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</si>
  <si>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</si>
  <si>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</si>
  <si>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</si>
  <si>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</si>
  <si>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</si>
  <si>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</si>
  <si>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</si>
  <si>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</si>
  <si>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</si>
  <si>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</si>
  <si>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</si>
  <si>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</si>
  <si>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</si>
  <si>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</si>
  <si>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</si>
  <si>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</si>
  <si>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</si>
  <si>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</si>
  <si>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</si>
  <si>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</si>
  <si>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</si>
  <si>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</si>
  <si>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</si>
  <si>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</si>
  <si>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</si>
  <si>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</si>
  <si>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</si>
  <si>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</si>
  <si>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</si>
  <si>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</si>
  <si>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</si>
  <si>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</si>
  <si>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</si>
  <si>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</si>
  <si>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</si>
  <si>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</si>
  <si>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</si>
  <si>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</si>
  <si>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</si>
  <si>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</si>
  <si>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</si>
  <si>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</si>
  <si>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</si>
  <si>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</si>
  <si>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</si>
  <si>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</si>
  <si>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</si>
  <si>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</si>
  <si>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</si>
  <si>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</si>
  <si>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</si>
  <si>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</si>
  <si>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</si>
  <si>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</si>
  <si>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</si>
  <si>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</si>
  <si>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</si>
  <si>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</si>
  <si>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</si>
  <si>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</si>
  <si>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</si>
  <si>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</si>
  <si>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</si>
  <si>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</si>
  <si>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</si>
  <si>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</si>
  <si>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</si>
  <si>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</si>
  <si>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</si>
  <si>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</si>
  <si>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</si>
  <si>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</si>
  <si>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</si>
  <si>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</si>
  <si>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</si>
  <si>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</si>
  <si>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</si>
  <si>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</si>
  <si>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</si>
  <si>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</si>
  <si>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</si>
  <si>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</si>
  <si>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</si>
  <si>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</si>
  <si>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HIGHWAY PATROL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</si>
</sst>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C22" sqref="C2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687</v>
      </c>
      <c r="G5" s="194"/>
      <c r="H5" s="194"/>
      <c r="I5" s="194"/>
      <c r="L5" s="12"/>
      <c r="M5" s="12"/>
      <c r="N5" s="12"/>
      <c r="O5" s="12"/>
      <c r="P5" s="12"/>
      <c r="Q5" s="12"/>
    </row>
    <row r="6" spans="1:20" ht="16.5" customHeight="1" x14ac:dyDescent="0.25">
      <c r="A6" s="188" t="s">
        <v>1634</v>
      </c>
      <c r="B6" s="188"/>
      <c r="C6" s="188"/>
      <c r="D6" s="188"/>
      <c r="E6" s="188"/>
      <c r="F6" s="195">
        <v>44</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TRANSPORTATION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24821892</v>
      </c>
      <c r="M15" s="143">
        <v>24821892</v>
      </c>
      <c r="P15" s="143">
        <v>24821892</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356133662</v>
      </c>
      <c r="M17" s="143">
        <v>356133662</v>
      </c>
      <c r="P17" s="143">
        <v>356133662</v>
      </c>
      <c r="Q17" s="155"/>
      <c r="S17" s="154">
        <f t="shared" si="0"/>
        <v>0</v>
      </c>
      <c r="T17" s="180" t="s">
        <v>1684</v>
      </c>
    </row>
    <row r="18" spans="1:20" ht="16.5" customHeight="1" x14ac:dyDescent="0.25">
      <c r="A18" s="54"/>
      <c r="B18" s="9" t="s">
        <v>168</v>
      </c>
      <c r="C18" s="9"/>
      <c r="D18" s="9"/>
      <c r="E18" s="140"/>
      <c r="F18" s="141"/>
      <c r="G18" s="141"/>
      <c r="H18" s="142"/>
      <c r="I18" s="142"/>
      <c r="J18" s="178">
        <f>P18</f>
        <v>1001448</v>
      </c>
      <c r="M18" s="143">
        <v>1001448</v>
      </c>
      <c r="P18" s="152">
        <f>IF(SUM($Q$20:$Q$23)&gt;SUM($P$15:$P$17),SUM($Q$20:$Q$23)-SUM($P$15:$P$17),0)</f>
        <v>1001448</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1267122</v>
      </c>
      <c r="M19" s="143">
        <v>1267122</v>
      </c>
      <c r="P19" s="155"/>
      <c r="Q19" s="155"/>
      <c r="S19" s="154">
        <f t="shared" si="0"/>
        <v>-1267122</v>
      </c>
      <c r="T19" s="179" t="s">
        <v>1668</v>
      </c>
    </row>
    <row r="20" spans="1:20" ht="16.5" customHeight="1" x14ac:dyDescent="0.25">
      <c r="A20" s="54"/>
      <c r="B20" s="9"/>
      <c r="C20" s="9" t="s">
        <v>177</v>
      </c>
      <c r="D20" s="9"/>
      <c r="E20" s="140"/>
      <c r="F20" s="141"/>
      <c r="G20" s="141"/>
      <c r="H20" s="142"/>
      <c r="I20" s="142"/>
      <c r="J20" s="150"/>
      <c r="K20" s="178">
        <f>N20</f>
        <v>5551822</v>
      </c>
      <c r="N20" s="143">
        <v>5551822</v>
      </c>
      <c r="P20" s="155"/>
      <c r="Q20" s="143">
        <v>4182480</v>
      </c>
      <c r="S20" s="154">
        <f>Q20-N20</f>
        <v>-1369342</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53786795</v>
      </c>
      <c r="N22" s="143">
        <v>53786795</v>
      </c>
      <c r="P22" s="155"/>
      <c r="Q22" s="143">
        <v>53889015</v>
      </c>
      <c r="S22" s="154">
        <f t="shared" ref="S22:S25" si="1">Q22-N22</f>
        <v>102220</v>
      </c>
      <c r="T22" s="179" t="s">
        <v>1668</v>
      </c>
    </row>
    <row r="23" spans="1:20" ht="16.5" customHeight="1" x14ac:dyDescent="0.25">
      <c r="A23" s="165" t="s">
        <v>1645</v>
      </c>
      <c r="B23" s="9"/>
      <c r="C23" s="9" t="s">
        <v>173</v>
      </c>
      <c r="D23" s="9"/>
      <c r="E23" s="140"/>
      <c r="F23" s="141"/>
      <c r="G23" s="141"/>
      <c r="H23" s="142"/>
      <c r="I23" s="142"/>
      <c r="J23" s="150"/>
      <c r="K23" s="178">
        <f>N23</f>
        <v>323885507</v>
      </c>
      <c r="N23" s="143">
        <v>323885507</v>
      </c>
      <c r="P23" s="155"/>
      <c r="Q23" s="143">
        <v>323885507</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383224124</v>
      </c>
      <c r="K26" s="107">
        <f>SUM(K15:K25)</f>
        <v>383224124</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107936510</v>
      </c>
      <c r="K33" s="144"/>
    </row>
    <row r="34" spans="1:12" ht="16.5" customHeight="1" x14ac:dyDescent="0.25">
      <c r="A34" s="54"/>
      <c r="B34" s="9"/>
      <c r="C34" s="9" t="s">
        <v>1673</v>
      </c>
      <c r="D34" s="140"/>
      <c r="E34" s="140"/>
      <c r="F34" s="141"/>
      <c r="G34" s="141"/>
      <c r="H34" s="142"/>
      <c r="I34" s="142"/>
      <c r="J34" s="144"/>
      <c r="K34" s="143">
        <v>104890086</v>
      </c>
    </row>
    <row r="35" spans="1:12" ht="16.5" customHeight="1" x14ac:dyDescent="0.25">
      <c r="A35" s="54"/>
      <c r="B35" s="9"/>
      <c r="C35" s="9" t="str">
        <f>IF($F$7="Proprietary","Cr: Acct 0870 - SERVICES &amp; CHARGES (MG ADJ)",VLOOKUP($F$9,'Drop Down Menus'!$F$2:$G$10,2,FALSE))</f>
        <v>Cr: Acct 0830 - TRANSPORTATION (GAAP ADJ)</v>
      </c>
      <c r="D35" s="140"/>
      <c r="E35" s="140"/>
      <c r="F35" s="141"/>
      <c r="G35" s="141"/>
      <c r="H35" s="142"/>
      <c r="I35" s="142"/>
      <c r="J35" s="144"/>
      <c r="K35" s="143">
        <f>J33-K34</f>
        <v>3046424</v>
      </c>
    </row>
    <row r="36" spans="1:12" ht="16.5" customHeight="1" x14ac:dyDescent="0.25">
      <c r="A36" s="54"/>
      <c r="C36" s="16"/>
      <c r="D36" s="16"/>
      <c r="E36" s="16"/>
      <c r="F36" s="17"/>
      <c r="G36" s="17"/>
      <c r="H36" s="18"/>
      <c r="I36" s="18"/>
      <c r="J36" s="107">
        <f>SUM(J33:J35)</f>
        <v>107936510</v>
      </c>
      <c r="K36" s="107">
        <f>SUM(K33:K35)</f>
        <v>107936510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v>5278004</v>
      </c>
      <c r="K39" s="144"/>
    </row>
    <row r="40" spans="1:12" ht="16.5" customHeight="1" x14ac:dyDescent="0.25">
      <c r="A40" s="159" t="s">
        <v>1637</v>
      </c>
      <c r="B40" s="9" t="s">
        <v>171</v>
      </c>
      <c r="C40" s="9"/>
      <c r="D40" s="140"/>
      <c r="E40" s="140"/>
      <c r="F40" s="141"/>
      <c r="G40" s="141"/>
      <c r="H40" s="142"/>
      <c r="I40" s="142"/>
      <c r="J40" s="143">
        <v>0</v>
      </c>
      <c r="K40" s="144"/>
    </row>
    <row r="41" spans="1:12" ht="16.5" customHeight="1" x14ac:dyDescent="0.25">
      <c r="A41" s="159" t="s">
        <v>1637</v>
      </c>
      <c r="B41" s="9" t="s">
        <v>172</v>
      </c>
      <c r="C41" s="9"/>
      <c r="D41" s="140"/>
      <c r="E41" s="140"/>
      <c r="F41" s="141"/>
      <c r="G41" s="141"/>
      <c r="H41" s="142"/>
      <c r="I41" s="142"/>
      <c r="J41" s="143">
        <v>102658506</v>
      </c>
      <c r="K41" s="144"/>
    </row>
    <row r="42" spans="1:12" ht="16.5" customHeight="1" x14ac:dyDescent="0.25">
      <c r="A42" s="54"/>
      <c r="B42" s="9"/>
      <c r="C42" s="9" t="s">
        <v>180</v>
      </c>
      <c r="D42" s="140"/>
      <c r="E42" s="140"/>
      <c r="F42" s="141"/>
      <c r="G42" s="141"/>
      <c r="H42" s="142"/>
      <c r="I42" s="142"/>
      <c r="J42" s="144"/>
      <c r="K42" s="143">
        <v>107936510</v>
      </c>
    </row>
    <row r="43" spans="1:12" ht="16.5" customHeight="1" x14ac:dyDescent="0.25">
      <c r="A43" s="54"/>
      <c r="B43" s="130" t="s">
        <v>1639</v>
      </c>
      <c r="C43" s="16"/>
      <c r="D43" s="16"/>
      <c r="E43" s="16"/>
      <c r="F43" s="17"/>
      <c r="G43" s="17"/>
      <c r="H43" s="18"/>
      <c r="I43" s="18"/>
      <c r="J43" s="107">
        <f>SUM(J39:J42)</f>
        <v>107936510</v>
      </c>
      <c r="K43" s="107">
        <f>SUM(K39:K42)</f>
        <v>107936510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104890086</v>
      </c>
      <c r="K47" s="144"/>
    </row>
    <row r="48" spans="1:12" ht="16.5" customHeight="1" x14ac:dyDescent="0.25">
      <c r="A48" s="165" t="s">
        <v>1645</v>
      </c>
      <c r="B48" s="9"/>
      <c r="C48" s="9" t="s">
        <v>173</v>
      </c>
      <c r="D48" s="140"/>
      <c r="E48" s="140"/>
      <c r="F48" s="141"/>
      <c r="G48" s="141"/>
      <c r="H48" s="142"/>
      <c r="I48" s="142"/>
      <c r="J48" s="144"/>
      <c r="K48" s="143">
        <v>104890086</v>
      </c>
    </row>
    <row r="49" spans="1:16" ht="16.5" customHeight="1" x14ac:dyDescent="0.25">
      <c r="A49" s="54"/>
      <c r="C49" s="16"/>
      <c r="D49" s="16"/>
      <c r="E49" s="16"/>
      <c r="F49" s="17"/>
      <c r="G49" s="17"/>
      <c r="H49" s="18"/>
      <c r="I49" s="18"/>
      <c r="J49" s="107">
        <f>SUM(J47:J48)</f>
        <v>104890086</v>
      </c>
      <c r="K49" s="107">
        <f>SUM(K47:K48)</f>
        <v>104890086</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34879864</v>
      </c>
      <c r="K55" s="144"/>
    </row>
    <row r="56" spans="1:16" ht="16.5" customHeight="1" x14ac:dyDescent="0.25">
      <c r="A56" s="54"/>
      <c r="B56" s="25"/>
      <c r="C56" s="9" t="s">
        <v>177</v>
      </c>
      <c r="D56" s="140"/>
      <c r="E56" s="140"/>
      <c r="F56" s="141"/>
      <c r="G56" s="141"/>
      <c r="H56" s="142"/>
      <c r="I56" s="142"/>
      <c r="J56" s="145"/>
      <c r="K56" s="143">
        <v>3196032</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31683832</v>
      </c>
    </row>
    <row r="59" spans="1:16" ht="16.5" customHeight="1" x14ac:dyDescent="0.25">
      <c r="A59" s="54"/>
      <c r="C59" s="16"/>
      <c r="D59" s="16"/>
      <c r="E59" s="16"/>
      <c r="F59" s="17"/>
      <c r="G59" s="17"/>
      <c r="H59" s="18"/>
      <c r="I59" s="18"/>
      <c r="J59" s="107">
        <f>SUM(J55:J58)</f>
        <v>34879864</v>
      </c>
      <c r="K59" s="107">
        <f>SUM(K55:K58)</f>
        <v>34879864</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f>2834080+30527041</f>
        <v>33361121</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339743+6427360</f>
        <v>6767103</v>
      </c>
      <c r="K63" s="147"/>
    </row>
    <row r="64" spans="1:16" ht="16.5" customHeight="1" x14ac:dyDescent="0.25">
      <c r="A64" s="54"/>
      <c r="B64" s="9"/>
      <c r="C64" s="9" t="str">
        <f>IF($F$7="Proprietary","Cr: Acct 0870 - SERVICES &amp; CHARGES (MG ADJ)",VLOOKUP($F$9,'Drop Down Menus'!$F$2:$G$10,2,FALSE))</f>
        <v>Cr: Acct 0830 - TRANSPORTATION (GAAP ADJ)</v>
      </c>
      <c r="D64" s="140"/>
      <c r="E64" s="140"/>
      <c r="F64" s="141"/>
      <c r="G64" s="141"/>
      <c r="H64" s="142"/>
      <c r="I64" s="142"/>
      <c r="J64" s="147"/>
      <c r="K64" s="143">
        <f>3174082-260+36954380+21+1</f>
        <v>40128224</v>
      </c>
    </row>
    <row r="65" spans="1:12" ht="16.5" customHeight="1" x14ac:dyDescent="0.25">
      <c r="A65" s="54"/>
      <c r="C65" s="16"/>
      <c r="D65" s="16"/>
      <c r="E65" s="16"/>
      <c r="F65" s="17"/>
      <c r="G65" s="17"/>
      <c r="H65" s="18"/>
      <c r="I65" s="18"/>
      <c r="J65" s="107">
        <f>SUM(J62:J64)</f>
        <v>40128224</v>
      </c>
      <c r="K65" s="107">
        <f>SUM(K62:K64)</f>
        <v>40128224</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33361121</v>
      </c>
      <c r="K68" s="144"/>
    </row>
    <row r="69" spans="1:12" ht="16.5" customHeight="1" x14ac:dyDescent="0.25">
      <c r="A69" s="54"/>
      <c r="B69" s="9"/>
      <c r="C69" s="9" t="s">
        <v>185</v>
      </c>
      <c r="D69" s="140"/>
      <c r="E69" s="140"/>
      <c r="F69" s="141"/>
      <c r="G69" s="141"/>
      <c r="H69" s="142"/>
      <c r="I69" s="142"/>
      <c r="J69" s="144"/>
      <c r="K69" s="143">
        <v>33361121</v>
      </c>
      <c r="L69" s="10" t="str">
        <f>IF($J$62=$K$69,"","&lt;- Accts 0848 must agree")</f>
        <v/>
      </c>
    </row>
    <row r="70" spans="1:12" ht="16.5" customHeight="1" x14ac:dyDescent="0.25">
      <c r="A70" s="54"/>
      <c r="C70" s="16"/>
      <c r="D70" s="16"/>
      <c r="E70" s="16"/>
      <c r="F70" s="17"/>
      <c r="G70" s="17"/>
      <c r="H70" s="18"/>
      <c r="I70" s="18"/>
      <c r="J70" s="107">
        <f>SUM(J68:J69)</f>
        <v>33361121</v>
      </c>
      <c r="K70" s="107">
        <f>SUM(K68:K69)</f>
        <v>33361121</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32549388</v>
      </c>
      <c r="K75" s="144"/>
    </row>
    <row r="76" spans="1:12" ht="16.5" customHeight="1" x14ac:dyDescent="0.25">
      <c r="A76" s="54"/>
      <c r="B76" s="9"/>
      <c r="C76" s="9" t="s">
        <v>193</v>
      </c>
      <c r="D76" s="140"/>
      <c r="E76" s="140"/>
      <c r="F76" s="141"/>
      <c r="G76" s="141"/>
      <c r="H76" s="142"/>
      <c r="I76" s="142"/>
      <c r="J76" s="144"/>
      <c r="K76" s="143">
        <v>32549388</v>
      </c>
    </row>
    <row r="77" spans="1:12" ht="16.5" customHeight="1" x14ac:dyDescent="0.2">
      <c r="A77" s="54"/>
      <c r="B77" s="191" t="s">
        <v>1672</v>
      </c>
      <c r="C77" s="191"/>
      <c r="D77" s="191"/>
      <c r="E77" s="191"/>
      <c r="F77" s="191"/>
      <c r="G77" s="191"/>
      <c r="H77" s="191"/>
      <c r="I77" s="191"/>
      <c r="J77" s="107">
        <f>SUM(J75:J76)</f>
        <v>32549388</v>
      </c>
      <c r="K77" s="107">
        <f>SUM(K75:K76)</f>
        <v>32549388</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v>0</v>
      </c>
      <c r="K85" s="144"/>
      <c r="L85" s="8"/>
    </row>
    <row r="86" spans="1:16" ht="16.5" customHeight="1" x14ac:dyDescent="0.2">
      <c r="A86" s="54"/>
      <c r="B86" s="9" t="s">
        <v>162</v>
      </c>
      <c r="C86" s="25"/>
      <c r="D86" s="25"/>
      <c r="E86" s="25"/>
      <c r="F86" s="25"/>
      <c r="G86" s="25"/>
      <c r="H86" s="25"/>
      <c r="I86" s="25"/>
      <c r="J86" s="143">
        <v>0</v>
      </c>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v>0</v>
      </c>
    </row>
    <row r="89" spans="1:16" ht="16.5" customHeight="1" x14ac:dyDescent="0.2">
      <c r="A89" s="159" t="s">
        <v>1637</v>
      </c>
      <c r="B89" s="25"/>
      <c r="C89" s="9" t="s">
        <v>163</v>
      </c>
      <c r="D89" s="25"/>
      <c r="E89" s="25"/>
      <c r="F89" s="25"/>
      <c r="G89" s="25"/>
      <c r="H89" s="25"/>
      <c r="I89" s="25"/>
      <c r="J89" s="148"/>
      <c r="K89" s="143">
        <v>0</v>
      </c>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f>2517945+29710397</f>
        <v>32228342</v>
      </c>
      <c r="K96" s="149"/>
    </row>
    <row r="97" spans="1:12" ht="16.5" customHeight="1" x14ac:dyDescent="0.2">
      <c r="B97" s="9" t="s">
        <v>186</v>
      </c>
      <c r="C97" s="25"/>
      <c r="D97" s="25"/>
      <c r="E97" s="25"/>
      <c r="F97" s="25"/>
      <c r="G97" s="25"/>
      <c r="H97" s="25"/>
      <c r="I97" s="25"/>
      <c r="J97" s="143">
        <v>1059634</v>
      </c>
      <c r="K97" s="25"/>
    </row>
    <row r="98" spans="1:12" ht="16.5" customHeight="1" x14ac:dyDescent="0.2">
      <c r="B98" s="9" t="s">
        <v>162</v>
      </c>
      <c r="C98" s="25"/>
      <c r="D98" s="25"/>
      <c r="E98" s="25"/>
      <c r="F98" s="25"/>
      <c r="G98" s="25"/>
      <c r="H98" s="25"/>
      <c r="I98" s="25"/>
      <c r="J98" s="143">
        <v>0</v>
      </c>
      <c r="K98" s="25"/>
    </row>
    <row r="99" spans="1:12" ht="16.5" customHeight="1" x14ac:dyDescent="0.2">
      <c r="B99" s="9" t="s">
        <v>187</v>
      </c>
      <c r="C99" s="25"/>
      <c r="D99" s="25"/>
      <c r="E99" s="25"/>
      <c r="F99" s="25"/>
      <c r="G99" s="25"/>
      <c r="H99" s="25"/>
      <c r="I99" s="25"/>
      <c r="J99" s="143">
        <v>1506651</v>
      </c>
      <c r="K99" s="25"/>
    </row>
    <row r="100" spans="1:12" ht="16.5" customHeight="1" x14ac:dyDescent="0.2">
      <c r="B100" s="9" t="str">
        <f>IF($F$7="Proprietary","Dr: Acct 0870 - SERVICES &amp; CHARGES (MG ADJ)",VLOOKUP($F$9,'Drop Down Menus'!$F$2:$H$10,3,FALSE))</f>
        <v>Dr: Acct 0830 - TRANSPORTATION (GAAP ADJ)</v>
      </c>
      <c r="C100" s="25"/>
      <c r="D100" s="25"/>
      <c r="E100" s="25"/>
      <c r="F100" s="25"/>
      <c r="G100" s="25"/>
      <c r="H100" s="25"/>
      <c r="I100" s="25"/>
      <c r="J100" s="143">
        <v>0</v>
      </c>
      <c r="K100" s="25"/>
    </row>
    <row r="101" spans="1:12" ht="16.5" customHeight="1" x14ac:dyDescent="0.2">
      <c r="A101" s="159" t="s">
        <v>1637</v>
      </c>
      <c r="B101" s="25"/>
      <c r="C101" s="9" t="s">
        <v>188</v>
      </c>
      <c r="D101" s="25"/>
      <c r="E101" s="25"/>
      <c r="F101" s="25"/>
      <c r="G101" s="25"/>
      <c r="H101" s="25"/>
      <c r="I101" s="25"/>
      <c r="J101" s="25"/>
      <c r="K101" s="143">
        <v>3454880</v>
      </c>
    </row>
    <row r="102" spans="1:12" ht="16.5" customHeight="1" x14ac:dyDescent="0.2">
      <c r="A102" s="159" t="s">
        <v>1637</v>
      </c>
      <c r="B102" s="25"/>
      <c r="C102" s="9" t="s">
        <v>163</v>
      </c>
      <c r="D102" s="25"/>
      <c r="E102" s="25"/>
      <c r="F102" s="25"/>
      <c r="G102" s="25"/>
      <c r="H102" s="25"/>
      <c r="I102" s="25"/>
      <c r="J102" s="25"/>
      <c r="K102" s="143">
        <v>0</v>
      </c>
    </row>
    <row r="103" spans="1:12" ht="16.5" customHeight="1" x14ac:dyDescent="0.2">
      <c r="A103" s="159" t="s">
        <v>1637</v>
      </c>
      <c r="B103" s="25"/>
      <c r="C103" s="9" t="s">
        <v>189</v>
      </c>
      <c r="D103" s="25"/>
      <c r="E103" s="25"/>
      <c r="F103" s="25"/>
      <c r="G103" s="25"/>
      <c r="H103" s="25"/>
      <c r="I103" s="25"/>
      <c r="J103" s="25"/>
      <c r="K103" s="143">
        <v>31208862</v>
      </c>
    </row>
    <row r="104" spans="1:12" ht="16.5" customHeight="1" x14ac:dyDescent="0.2">
      <c r="B104" s="25"/>
      <c r="C104" s="9" t="str">
        <f>IF($F$7="Proprietary","Dr: Acct 0870 - SERVICES &amp; CHARGES (MG ADJ)",VLOOKUP($F$9,'Drop Down Menus'!$F$2:$G$10,2,FALSE))</f>
        <v>Cr: Acct 0830 - TRANSPORTATION (GAAP ADJ)</v>
      </c>
      <c r="D104" s="25"/>
      <c r="E104" s="25"/>
      <c r="F104" s="25"/>
      <c r="G104" s="25"/>
      <c r="H104" s="25"/>
      <c r="I104" s="25"/>
      <c r="J104" s="25"/>
      <c r="K104" s="143">
        <f>122699+1+8185</f>
        <v>130885</v>
      </c>
    </row>
    <row r="105" spans="1:12" ht="16.5" customHeight="1" x14ac:dyDescent="0.25">
      <c r="B105" s="130" t="s">
        <v>1640</v>
      </c>
      <c r="H105" s="10"/>
      <c r="J105" s="108">
        <f>SUM(J96:J104)</f>
        <v>34794627</v>
      </c>
      <c r="K105" s="108">
        <f>SUM(K96:K104)</f>
        <v>34794627</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368427</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131690</v>
      </c>
      <c r="K112" s="25"/>
    </row>
    <row r="113" spans="1:12" ht="16.5" customHeight="1" x14ac:dyDescent="0.2">
      <c r="A113" s="165" t="s">
        <v>1645</v>
      </c>
      <c r="B113" s="9"/>
      <c r="C113" s="9" t="s">
        <v>173</v>
      </c>
      <c r="D113" s="7"/>
      <c r="E113" s="25"/>
      <c r="F113" s="25"/>
      <c r="G113" s="25"/>
      <c r="H113" s="25"/>
      <c r="I113" s="25"/>
      <c r="J113" s="25"/>
      <c r="K113" s="143">
        <v>500117</v>
      </c>
    </row>
    <row r="114" spans="1:12" ht="16.5" customHeight="1" x14ac:dyDescent="0.25">
      <c r="A114" s="6"/>
      <c r="B114" s="130" t="s">
        <v>1639</v>
      </c>
      <c r="C114" s="114"/>
      <c r="D114" s="114"/>
      <c r="H114" s="10"/>
      <c r="J114" s="108">
        <f>SUM(J110:J113)</f>
        <v>500117</v>
      </c>
      <c r="K114" s="108">
        <f>SUM(K110:K113)</f>
        <v>500117</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27013443</v>
      </c>
    </row>
    <row r="123" spans="1:12" ht="16.5" customHeight="1" x14ac:dyDescent="0.25">
      <c r="D123" s="140" t="s">
        <v>1651</v>
      </c>
      <c r="H123" s="10"/>
      <c r="K123" s="169">
        <f>J16+J40-K89-K102+J111</f>
        <v>0</v>
      </c>
    </row>
    <row r="124" spans="1:12" ht="16.5" customHeight="1" x14ac:dyDescent="0.25">
      <c r="D124" s="140" t="s">
        <v>1652</v>
      </c>
      <c r="H124" s="10"/>
      <c r="K124" s="169">
        <f>J17+J41-K90-K103+J112</f>
        <v>427714996</v>
      </c>
    </row>
    <row r="125" spans="1:12" ht="16.5" customHeight="1" x14ac:dyDescent="0.25">
      <c r="D125" s="140" t="s">
        <v>1653</v>
      </c>
      <c r="H125" s="10"/>
      <c r="K125" s="169">
        <f>-K20-K56+J85+J97</f>
        <v>-7688220</v>
      </c>
    </row>
    <row r="126" spans="1:12" ht="16.5" customHeight="1" x14ac:dyDescent="0.25">
      <c r="D126" s="140" t="s">
        <v>1654</v>
      </c>
      <c r="H126" s="10"/>
      <c r="K126" s="169">
        <f>-K21-K57+J86+J98</f>
        <v>0</v>
      </c>
    </row>
    <row r="127" spans="1:12" ht="16.5" customHeight="1" x14ac:dyDescent="0.25">
      <c r="D127" s="140" t="s">
        <v>1655</v>
      </c>
      <c r="H127" s="10"/>
      <c r="K127" s="169">
        <f>-K22-K58+J87+J99</f>
        <v>-83963976</v>
      </c>
    </row>
    <row r="128" spans="1:12" ht="16.5" customHeight="1" x14ac:dyDescent="0.25">
      <c r="D128" s="140" t="s">
        <v>1656</v>
      </c>
      <c r="H128" s="10"/>
      <c r="K128" s="169">
        <f>-K23-K48+J68+J75+J96-K113</f>
        <v>-331136859</v>
      </c>
    </row>
    <row r="129" spans="4:11" ht="16.5" customHeight="1" x14ac:dyDescent="0.25">
      <c r="D129" s="140" t="s">
        <v>1657</v>
      </c>
      <c r="H129" s="10"/>
      <c r="K129" s="169">
        <f>-K76</f>
        <v>-32549388</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1F80-C7B6-430F-9DC7-733FAAB17DBB}">
  <sheetPr>
    <tabColor theme="9" tint="0.59999389629810485"/>
    <pageSetUpPr fitToPage="1"/>
  </sheetPr>
  <dimension ref="A1:T193"/>
  <sheetViews>
    <sheetView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687</v>
      </c>
      <c r="G5" s="194"/>
      <c r="H5" s="194"/>
      <c r="I5" s="194"/>
      <c r="L5" s="12"/>
      <c r="M5" s="12"/>
      <c r="N5" s="12"/>
      <c r="O5" s="12"/>
      <c r="P5" s="12"/>
      <c r="Q5" s="12"/>
    </row>
    <row r="6" spans="1:20" ht="16.5" customHeight="1" x14ac:dyDescent="0.25">
      <c r="A6" s="188" t="s">
        <v>1634</v>
      </c>
      <c r="B6" s="188"/>
      <c r="C6" s="188"/>
      <c r="D6" s="188"/>
      <c r="E6" s="188"/>
      <c r="F6" s="195">
        <v>890</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TRANSPORTATION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381206</v>
      </c>
      <c r="M17" s="143">
        <v>381206</v>
      </c>
      <c r="P17" s="143">
        <v>381206</v>
      </c>
      <c r="Q17" s="155"/>
      <c r="S17" s="154">
        <f t="shared" si="0"/>
        <v>0</v>
      </c>
      <c r="T17" s="180" t="s">
        <v>1684</v>
      </c>
    </row>
    <row r="18" spans="1:20" ht="16.5" customHeight="1" x14ac:dyDescent="0.25">
      <c r="A18" s="54"/>
      <c r="B18" s="9" t="s">
        <v>168</v>
      </c>
      <c r="C18" s="9"/>
      <c r="D18" s="9"/>
      <c r="E18" s="140"/>
      <c r="F18" s="141"/>
      <c r="G18" s="141"/>
      <c r="H18" s="142"/>
      <c r="I18" s="142"/>
      <c r="J18" s="178">
        <f>P18</f>
        <v>1443</v>
      </c>
      <c r="M18" s="143">
        <v>1443</v>
      </c>
      <c r="P18" s="152">
        <f>IF(SUM($Q$20:$Q$23)&gt;SUM($P$15:$P$17),SUM($Q$20:$Q$23)-SUM($P$15:$P$17),0)</f>
        <v>1443</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91490</v>
      </c>
      <c r="N22" s="143">
        <f>91489+1</f>
        <v>91490</v>
      </c>
      <c r="P22" s="155"/>
      <c r="Q22" s="143">
        <v>91490</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291159</v>
      </c>
      <c r="N23" s="143">
        <v>291159</v>
      </c>
      <c r="P23" s="155"/>
      <c r="Q23" s="143">
        <v>291159</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382649</v>
      </c>
      <c r="K26" s="107">
        <f>SUM(K15:K25)</f>
        <v>382649</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1673</v>
      </c>
      <c r="D34" s="140"/>
      <c r="E34" s="140"/>
      <c r="F34" s="141"/>
      <c r="G34" s="141"/>
      <c r="H34" s="142"/>
      <c r="I34" s="142"/>
      <c r="J34" s="144"/>
      <c r="K34" s="143">
        <v>0</v>
      </c>
    </row>
    <row r="35" spans="1:12" ht="16.5" customHeight="1" x14ac:dyDescent="0.25">
      <c r="A35" s="54"/>
      <c r="B35" s="9"/>
      <c r="C35" s="9" t="str">
        <f>IF($F$7="Proprietary","Cr: Acct 0870 - SERVICES &amp; CHARGES (MG ADJ)",VLOOKUP($F$9,'Drop Down Menus'!$F$2:$G$10,2,FALSE))</f>
        <v>Cr: Acct 0830 - TRANSPORTATION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v>0</v>
      </c>
      <c r="K39" s="144"/>
    </row>
    <row r="40" spans="1:12" ht="16.5" customHeight="1" x14ac:dyDescent="0.25">
      <c r="A40" s="159" t="s">
        <v>1637</v>
      </c>
      <c r="B40" s="9" t="s">
        <v>171</v>
      </c>
      <c r="C40" s="9"/>
      <c r="D40" s="140"/>
      <c r="E40" s="140"/>
      <c r="F40" s="141"/>
      <c r="G40" s="141"/>
      <c r="H40" s="142"/>
      <c r="I40" s="142"/>
      <c r="J40" s="143">
        <v>0</v>
      </c>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0</v>
      </c>
      <c r="K47" s="144"/>
    </row>
    <row r="48" spans="1:12" ht="16.5" customHeight="1" x14ac:dyDescent="0.25">
      <c r="A48" s="165" t="s">
        <v>1645</v>
      </c>
      <c r="B48" s="9"/>
      <c r="C48" s="9" t="s">
        <v>173</v>
      </c>
      <c r="D48" s="140"/>
      <c r="E48" s="140"/>
      <c r="F48" s="141"/>
      <c r="G48" s="141"/>
      <c r="H48" s="142"/>
      <c r="I48" s="142"/>
      <c r="J48" s="144"/>
      <c r="K48" s="143">
        <v>0</v>
      </c>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45745</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45745</v>
      </c>
    </row>
    <row r="59" spans="1:16" ht="16.5" customHeight="1" x14ac:dyDescent="0.25">
      <c r="A59" s="54"/>
      <c r="C59" s="16"/>
      <c r="D59" s="16"/>
      <c r="E59" s="16"/>
      <c r="F59" s="17"/>
      <c r="G59" s="17"/>
      <c r="H59" s="18"/>
      <c r="I59" s="18"/>
      <c r="J59" s="107">
        <f>SUM(J55:J58)</f>
        <v>45745</v>
      </c>
      <c r="K59" s="107">
        <f>SUM(K55:K58)</f>
        <v>45745</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45362</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1352</v>
      </c>
      <c r="K63" s="147"/>
    </row>
    <row r="64" spans="1:16" ht="16.5" customHeight="1" x14ac:dyDescent="0.25">
      <c r="A64" s="54"/>
      <c r="B64" s="9"/>
      <c r="C64" s="9" t="str">
        <f>IF($F$7="Proprietary","Cr: Acct 0870 - SERVICES &amp; CHARGES (MG ADJ)",VLOOKUP($F$9,'Drop Down Menus'!$F$2:$G$10,2,FALSE))</f>
        <v>Cr: Acct 0830 - TRANSPORTATION (GAAP ADJ)</v>
      </c>
      <c r="D64" s="140"/>
      <c r="E64" s="140"/>
      <c r="F64" s="141"/>
      <c r="G64" s="141"/>
      <c r="H64" s="142"/>
      <c r="I64" s="142"/>
      <c r="J64" s="147"/>
      <c r="K64" s="143">
        <v>46714</v>
      </c>
    </row>
    <row r="65" spans="1:12" ht="16.5" customHeight="1" x14ac:dyDescent="0.25">
      <c r="A65" s="54"/>
      <c r="C65" s="16"/>
      <c r="D65" s="16"/>
      <c r="E65" s="16"/>
      <c r="F65" s="17"/>
      <c r="G65" s="17"/>
      <c r="H65" s="18"/>
      <c r="I65" s="18"/>
      <c r="J65" s="107">
        <f>SUM(J62:J64)</f>
        <v>46714</v>
      </c>
      <c r="K65" s="107">
        <f>SUM(K62:K64)</f>
        <v>46714</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45362</v>
      </c>
      <c r="K68" s="144"/>
    </row>
    <row r="69" spans="1:12" ht="16.5" customHeight="1" x14ac:dyDescent="0.25">
      <c r="A69" s="54"/>
      <c r="B69" s="9"/>
      <c r="C69" s="9" t="s">
        <v>185</v>
      </c>
      <c r="D69" s="140"/>
      <c r="E69" s="140"/>
      <c r="F69" s="141"/>
      <c r="G69" s="141"/>
      <c r="H69" s="142"/>
      <c r="I69" s="142"/>
      <c r="J69" s="144"/>
      <c r="K69" s="143">
        <v>45362</v>
      </c>
      <c r="L69" s="10" t="str">
        <f>IF($J$62=$K$69,"","&lt;- Accts 0848 must agree")</f>
        <v/>
      </c>
    </row>
    <row r="70" spans="1:12" ht="16.5" customHeight="1" x14ac:dyDescent="0.25">
      <c r="A70" s="54"/>
      <c r="C70" s="16"/>
      <c r="D70" s="16"/>
      <c r="E70" s="16"/>
      <c r="F70" s="17"/>
      <c r="G70" s="17"/>
      <c r="H70" s="18"/>
      <c r="I70" s="18"/>
      <c r="J70" s="107">
        <f>SUM(J68:J69)</f>
        <v>45362</v>
      </c>
      <c r="K70" s="107">
        <f>SUM(K68:K69)</f>
        <v>45362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45589</v>
      </c>
      <c r="K75" s="144"/>
    </row>
    <row r="76" spans="1:12" ht="16.5" customHeight="1" x14ac:dyDescent="0.25">
      <c r="A76" s="54"/>
      <c r="B76" s="9"/>
      <c r="C76" s="9" t="s">
        <v>193</v>
      </c>
      <c r="D76" s="140"/>
      <c r="E76" s="140"/>
      <c r="F76" s="141"/>
      <c r="G76" s="141"/>
      <c r="H76" s="142"/>
      <c r="I76" s="142"/>
      <c r="J76" s="144"/>
      <c r="K76" s="143">
        <v>45589</v>
      </c>
    </row>
    <row r="77" spans="1:12" ht="16.5" customHeight="1" x14ac:dyDescent="0.2">
      <c r="A77" s="54"/>
      <c r="B77" s="191" t="s">
        <v>1672</v>
      </c>
      <c r="C77" s="191"/>
      <c r="D77" s="191"/>
      <c r="E77" s="191"/>
      <c r="F77" s="191"/>
      <c r="G77" s="191"/>
      <c r="H77" s="191"/>
      <c r="I77" s="191"/>
      <c r="J77" s="107">
        <f>SUM(J75:J76)</f>
        <v>45589</v>
      </c>
      <c r="K77" s="107">
        <f>SUM(K75:K76)</f>
        <v>45589</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v>0</v>
      </c>
      <c r="K85" s="144"/>
      <c r="L85" s="8"/>
    </row>
    <row r="86" spans="1:16" ht="16.5" customHeight="1" x14ac:dyDescent="0.2">
      <c r="A86" s="54"/>
      <c r="B86" s="9" t="s">
        <v>162</v>
      </c>
      <c r="C86" s="25"/>
      <c r="D86" s="25"/>
      <c r="E86" s="25"/>
      <c r="F86" s="25"/>
      <c r="G86" s="25"/>
      <c r="H86" s="25"/>
      <c r="I86" s="25"/>
      <c r="J86" s="143">
        <v>0</v>
      </c>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v>0</v>
      </c>
    </row>
    <row r="89" spans="1:16" ht="16.5" customHeight="1" x14ac:dyDescent="0.2">
      <c r="A89" s="159" t="s">
        <v>1637</v>
      </c>
      <c r="B89" s="25"/>
      <c r="C89" s="9" t="s">
        <v>163</v>
      </c>
      <c r="D89" s="25"/>
      <c r="E89" s="25"/>
      <c r="F89" s="25"/>
      <c r="G89" s="25"/>
      <c r="H89" s="25"/>
      <c r="I89" s="25"/>
      <c r="J89" s="148"/>
      <c r="K89" s="143">
        <v>0</v>
      </c>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0</v>
      </c>
      <c r="K96" s="149"/>
    </row>
    <row r="97" spans="1:12" ht="16.5" customHeight="1" x14ac:dyDescent="0.2">
      <c r="B97" s="9" t="s">
        <v>186</v>
      </c>
      <c r="C97" s="25"/>
      <c r="D97" s="25"/>
      <c r="E97" s="25"/>
      <c r="F97" s="25"/>
      <c r="G97" s="25"/>
      <c r="H97" s="25"/>
      <c r="I97" s="25"/>
      <c r="J97" s="143">
        <v>0</v>
      </c>
      <c r="K97" s="25"/>
    </row>
    <row r="98" spans="1:12" ht="16.5" customHeight="1" x14ac:dyDescent="0.2">
      <c r="B98" s="9" t="s">
        <v>162</v>
      </c>
      <c r="C98" s="25"/>
      <c r="D98" s="25"/>
      <c r="E98" s="25"/>
      <c r="F98" s="25"/>
      <c r="G98" s="25"/>
      <c r="H98" s="25"/>
      <c r="I98" s="25"/>
      <c r="J98" s="143">
        <v>0</v>
      </c>
      <c r="K98" s="25"/>
    </row>
    <row r="99" spans="1:12" ht="16.5" customHeight="1" x14ac:dyDescent="0.2">
      <c r="B99" s="9" t="s">
        <v>187</v>
      </c>
      <c r="C99" s="25"/>
      <c r="D99" s="25"/>
      <c r="E99" s="25"/>
      <c r="F99" s="25"/>
      <c r="G99" s="25"/>
      <c r="H99" s="25"/>
      <c r="I99" s="25"/>
      <c r="J99" s="143">
        <v>0</v>
      </c>
      <c r="K99" s="25"/>
    </row>
    <row r="100" spans="1:12" ht="16.5" customHeight="1" x14ac:dyDescent="0.2">
      <c r="B100" s="9" t="str">
        <f>IF($F$7="Proprietary","Dr: Acct 0870 - SERVICES &amp; CHARGES (MG ADJ)",VLOOKUP($F$9,'Drop Down Menus'!$F$2:$H$10,3,FALSE))</f>
        <v>Dr: Acct 0830 - TRANSPORTATION (GAAP ADJ)</v>
      </c>
      <c r="C100" s="25"/>
      <c r="D100" s="25"/>
      <c r="E100" s="25"/>
      <c r="F100" s="25"/>
      <c r="G100" s="25"/>
      <c r="H100" s="25"/>
      <c r="I100" s="25"/>
      <c r="J100" s="143">
        <v>0</v>
      </c>
      <c r="K100" s="25"/>
    </row>
    <row r="101" spans="1:12" ht="16.5" customHeight="1" x14ac:dyDescent="0.2">
      <c r="A101" s="159" t="s">
        <v>1637</v>
      </c>
      <c r="B101" s="25"/>
      <c r="C101" s="9" t="s">
        <v>188</v>
      </c>
      <c r="D101" s="25"/>
      <c r="E101" s="25"/>
      <c r="F101" s="25"/>
      <c r="G101" s="25"/>
      <c r="H101" s="25"/>
      <c r="I101" s="25"/>
      <c r="J101" s="25"/>
      <c r="K101" s="143">
        <v>0</v>
      </c>
    </row>
    <row r="102" spans="1:12" ht="16.5" customHeight="1" x14ac:dyDescent="0.2">
      <c r="A102" s="159" t="s">
        <v>1637</v>
      </c>
      <c r="B102" s="25"/>
      <c r="C102" s="9" t="s">
        <v>163</v>
      </c>
      <c r="D102" s="25"/>
      <c r="E102" s="25"/>
      <c r="F102" s="25"/>
      <c r="G102" s="25"/>
      <c r="H102" s="25"/>
      <c r="I102" s="25"/>
      <c r="J102" s="25"/>
      <c r="K102" s="143">
        <v>0</v>
      </c>
    </row>
    <row r="103" spans="1:12" ht="16.5" customHeight="1" x14ac:dyDescent="0.2">
      <c r="A103" s="159" t="s">
        <v>1637</v>
      </c>
      <c r="B103" s="25"/>
      <c r="C103" s="9" t="s">
        <v>189</v>
      </c>
      <c r="D103" s="25"/>
      <c r="E103" s="25"/>
      <c r="F103" s="25"/>
      <c r="G103" s="25"/>
      <c r="H103" s="25"/>
      <c r="I103" s="25"/>
      <c r="J103" s="25"/>
      <c r="K103" s="143">
        <v>0</v>
      </c>
    </row>
    <row r="104" spans="1:12" ht="16.5" customHeight="1" x14ac:dyDescent="0.2">
      <c r="B104" s="25"/>
      <c r="C104" s="9" t="str">
        <f>IF($F$7="Proprietary","Dr: Acct 0870 - SERVICES &amp; CHARGES (MG ADJ)",VLOOKUP($F$9,'Drop Down Menus'!$F$2:$G$10,2,FALSE))</f>
        <v>Cr: Acct 0830 - TRANSPORTATION (GAAP ADJ)</v>
      </c>
      <c r="D104" s="25"/>
      <c r="E104" s="25"/>
      <c r="F104" s="25"/>
      <c r="G104" s="25"/>
      <c r="H104" s="25"/>
      <c r="I104" s="25"/>
      <c r="J104" s="25"/>
      <c r="K104" s="143">
        <v>0</v>
      </c>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0</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0</v>
      </c>
      <c r="K112" s="25"/>
    </row>
    <row r="113" spans="1:12" ht="16.5" customHeight="1" x14ac:dyDescent="0.2">
      <c r="A113" s="165" t="s">
        <v>1645</v>
      </c>
      <c r="B113" s="9"/>
      <c r="C113" s="9" t="s">
        <v>173</v>
      </c>
      <c r="D113" s="7"/>
      <c r="E113" s="25"/>
      <c r="F113" s="25"/>
      <c r="G113" s="25"/>
      <c r="H113" s="25"/>
      <c r="I113" s="25"/>
      <c r="J113" s="25"/>
      <c r="K113" s="143">
        <v>0</v>
      </c>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381206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-137235</v>
      </c>
    </row>
    <row r="128" spans="1:12" ht="16.5" customHeight="1" x14ac:dyDescent="0.25">
      <c r="D128" s="140" t="s">
        <v>1656</v>
      </c>
      <c r="H128" s="10"/>
      <c r="K128" s="169">
        <f>-K23-K48+J68+J75+J96-K113</f>
        <v>-200208</v>
      </c>
    </row>
    <row r="129" spans="4:11" ht="16.5" customHeight="1" x14ac:dyDescent="0.25">
      <c r="D129" s="140" t="s">
        <v>1657</v>
      </c>
      <c r="H129" s="10"/>
      <c r="K129" s="169">
        <f>-K76</f>
        <v>-45589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type="textLength" operator="equal" allowBlank="1" showInputMessage="1" showErrorMessage="1" errorTitle="4-Digit Org Code" error="Enter the Org Code/BU as 4 digits." sqref="F5" xr:uid="{AC5D2002-9404-46A1-8B74-F8AF652D6E92}">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6344A06-C6FD-4A3E-A8EF-579832A821C2}">
      <formula1>0</formula1>
    </dataValidation>
    <dataValidation operator="lessThan" allowBlank="1" showInputMessage="1" showErrorMessage="1" sqref="A3:A8" xr:uid="{D1F7284B-CDC8-4189-BEC0-79F3029E5037}"/>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6DD4165F-076F-45C9-85FB-04C9B7C511EB}">
          <x14:formula1>
            <xm:f>'Drop Down Menus'!$E$1:$E$3</xm:f>
          </x14:formula1>
          <xm:sqref>F8</xm:sqref>
        </x14:dataValidation>
        <x14:dataValidation type="list" allowBlank="1" showInputMessage="1" showErrorMessage="1" xr:uid="{185B5A82-0D85-4EE7-B5E9-47B636CB36B5}">
          <x14:formula1>
            <xm:f>'Drop Down Menus'!$B$1:$B$2</xm:f>
          </x14:formula1>
          <xm:sqref>F7</xm:sqref>
        </x14:dataValidation>
        <x14:dataValidation type="list" allowBlank="1" showInputMessage="1" showErrorMessage="1" xr:uid="{F4D861C6-C888-4BE0-9734-D91B35E4F2D0}">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2720</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32594977</v>
      </c>
      <c r="C13" s="55">
        <v>5651381</v>
      </c>
      <c r="D13" s="200" t="s">
        <v>4</v>
      </c>
      <c r="E13" s="201"/>
      <c r="F13" s="201"/>
      <c r="G13" s="29"/>
      <c r="H13" s="29"/>
      <c r="I13" s="29"/>
      <c r="J13" s="29"/>
      <c r="K13" s="29"/>
      <c r="L13" s="29"/>
      <c r="M13" s="29"/>
    </row>
    <row r="14" spans="1:13" x14ac:dyDescent="0.2">
      <c r="A14" s="51" t="str">
        <f>LEFT(A13,4)+1&amp;"–"&amp;RIGHT(A13,4)+1</f>
        <v>2025–2026</v>
      </c>
      <c r="B14" s="55">
        <v>32827815</v>
      </c>
      <c r="C14" s="55">
        <v>5214746</v>
      </c>
      <c r="D14" s="200"/>
      <c r="E14" s="201"/>
      <c r="F14" s="201"/>
    </row>
    <row r="15" spans="1:13" ht="15.75" x14ac:dyDescent="0.2">
      <c r="A15" s="51" t="str">
        <f>LEFT(A14,4)+1&amp;"–"&amp;RIGHT(A14,4)+1</f>
        <v>2026–2027</v>
      </c>
      <c r="B15" s="55">
        <v>32327137</v>
      </c>
      <c r="C15" s="55">
        <v>4776271</v>
      </c>
      <c r="D15" s="197" t="s">
        <v>124</v>
      </c>
      <c r="E15" s="197"/>
      <c r="F15" s="197"/>
      <c r="G15" s="30"/>
      <c r="H15" s="30"/>
      <c r="I15" s="30"/>
      <c r="J15" s="30"/>
      <c r="K15" s="30"/>
      <c r="L15" s="30"/>
      <c r="M15" s="30"/>
    </row>
    <row r="16" spans="1:13" x14ac:dyDescent="0.2">
      <c r="A16" s="51" t="str">
        <f>LEFT(A15,4)+1&amp;"–"&amp;RIGHT(A15,4)+1</f>
        <v>2027–2028</v>
      </c>
      <c r="B16" s="55">
        <v>30746865</v>
      </c>
      <c r="C16" s="55">
        <v>4345872</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v>28588556</v>
      </c>
      <c r="C17" s="55">
        <v>3953002</v>
      </c>
      <c r="D17" s="197">
        <v>0</v>
      </c>
      <c r="E17" s="197"/>
      <c r="F17" s="197"/>
      <c r="G17" s="31"/>
      <c r="H17" s="31"/>
      <c r="I17" s="31"/>
      <c r="J17" s="31"/>
      <c r="K17" s="31"/>
    </row>
    <row r="18" spans="1:13" ht="15" customHeight="1" x14ac:dyDescent="0.25">
      <c r="A18" s="51" t="str">
        <f>LEFT(A17,4)+1&amp;"–"&amp;RIGHT(A17,4)+5</f>
        <v>2029–2034</v>
      </c>
      <c r="B18" s="55">
        <v>98637895</v>
      </c>
      <c r="C18" s="55">
        <v>14075085</v>
      </c>
      <c r="D18" s="200" t="s">
        <v>6</v>
      </c>
      <c r="E18" s="201"/>
      <c r="F18" s="201"/>
      <c r="G18" s="29"/>
      <c r="H18" s="29"/>
      <c r="I18" s="29"/>
      <c r="J18" s="29"/>
      <c r="K18" s="29"/>
      <c r="L18" s="29"/>
      <c r="M18" s="29"/>
    </row>
    <row r="19" spans="1:13" x14ac:dyDescent="0.2">
      <c r="A19" s="51" t="str">
        <f t="shared" ref="A19:A32" si="0">LEFT(A18,4)+5&amp;"–"&amp;RIGHT(A18,4)+5</f>
        <v>2034–2039</v>
      </c>
      <c r="B19" s="55">
        <v>75566142</v>
      </c>
      <c r="C19" s="55">
        <v>6644292</v>
      </c>
      <c r="D19" s="200"/>
      <c r="E19" s="201"/>
      <c r="F19" s="201"/>
    </row>
    <row r="20" spans="1:13" ht="15.75" x14ac:dyDescent="0.2">
      <c r="A20" s="51" t="str">
        <f t="shared" si="0"/>
        <v>2039–2044</v>
      </c>
      <c r="B20" s="55">
        <v>32594953</v>
      </c>
      <c r="C20" s="55">
        <v>1175071</v>
      </c>
      <c r="D20" s="197" t="s">
        <v>124</v>
      </c>
      <c r="E20" s="197"/>
      <c r="F20" s="197"/>
      <c r="G20" s="30"/>
      <c r="H20" s="30"/>
      <c r="I20" s="30"/>
      <c r="J20" s="30"/>
      <c r="K20" s="30"/>
      <c r="L20" s="30"/>
      <c r="M20" s="30"/>
    </row>
    <row r="21" spans="1:13" ht="15" customHeight="1" x14ac:dyDescent="0.2">
      <c r="A21" s="51" t="str">
        <f t="shared" si="0"/>
        <v>2044–2049</v>
      </c>
      <c r="B21" s="55">
        <v>47704</v>
      </c>
      <c r="C21" s="55">
        <v>388</v>
      </c>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v>0</v>
      </c>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v>0</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v>0</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v>0</v>
      </c>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2720</v>
      </c>
      <c r="C40" s="206"/>
      <c r="E40" s="32"/>
    </row>
    <row r="41" spans="1:13" ht="15.75" x14ac:dyDescent="0.25">
      <c r="A41" s="5" t="s">
        <v>191</v>
      </c>
      <c r="B41" s="204" t="str">
        <f>B10</f>
        <v>CALIFORNIA HIGHWAY PATROL</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2720</v>
      </c>
      <c r="C71" s="206"/>
    </row>
    <row r="72" spans="1:13" ht="15.75" x14ac:dyDescent="0.25">
      <c r="A72" s="5" t="s">
        <v>191</v>
      </c>
      <c r="B72" s="204" t="str">
        <f>B10</f>
        <v>CALIFORNIA HIGHWAY PATROL</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0044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2720 - CALIFORNIA HIGHWAY PATROL</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'LS-Fund 0044 Journal Entries'!K23+'LS-Fund 0890 Journal Entries'!K23</f>
        <v>324176666</v>
      </c>
      <c r="G10" s="58"/>
      <c r="H10" s="61">
        <f>'LS-Fund 0044 Journal Entries'!K48+'LS-Fund 0044 Journal Entries'!K113+'LS-Fund 0890 Journal Entries'!K48+'LS-Fund 0890 Journal Entries'!K113</f>
        <v>105390203</v>
      </c>
      <c r="I10" s="58"/>
      <c r="J10" s="61">
        <f>'LS-Fund 0044 Journal Entries'!J68+'LS-Fund 0044 Journal Entries'!J96+'LS-Fund 0890 Journal Entries'!J68+'LS-Fund 0890 Journal Entries'!J96</f>
        <v>65634825</v>
      </c>
      <c r="K10" s="58"/>
      <c r="L10" s="63">
        <f>SUM(F10+H10-J10)</f>
        <v>363932044</v>
      </c>
      <c r="M10" s="58"/>
      <c r="N10" s="61">
        <f>'LS-Fund 0044 Journal Entries'!J75+'LS-Fund 0890 Journal Entries'!J75</f>
        <v>32594977</v>
      </c>
      <c r="O10" s="58"/>
      <c r="P10" s="63">
        <f>L10-N10</f>
        <v>331337067</v>
      </c>
      <c r="Q10" s="43"/>
    </row>
    <row r="11" spans="2:17" ht="19.5" thickTop="1" thickBot="1" x14ac:dyDescent="0.3">
      <c r="B11" s="41"/>
      <c r="C11" s="45" t="s">
        <v>18</v>
      </c>
      <c r="F11" s="62">
        <f>SUM(F10:F10)</f>
        <v>324176666</v>
      </c>
      <c r="G11" s="58"/>
      <c r="H11" s="62">
        <f>SUM(H10:H10)</f>
        <v>105390203</v>
      </c>
      <c r="I11" s="58"/>
      <c r="J11" s="62">
        <f>SUM(J10:J10)</f>
        <v>65634825</v>
      </c>
      <c r="K11" s="58"/>
      <c r="L11" s="62">
        <f>SUM(L10:L10)</f>
        <v>363932044</v>
      </c>
      <c r="M11" s="58"/>
      <c r="N11" s="62">
        <f>SUM(N10:N10)</f>
        <v>32594977</v>
      </c>
      <c r="O11" s="58"/>
      <c r="P11" s="62">
        <f>SUM(P10:P10)</f>
        <v>331337067</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0044 Journal Entries'!$F$8="Proprietary - Internal Service Fund",'LS-Fund 0044 Journal Entries'!$K$23,0)</f>
        <v>0</v>
      </c>
      <c r="G14" s="58"/>
      <c r="H14" s="61">
        <f>IF('LS-Fund 0044 Journal Entries'!$F$8="Proprietary - Internal Service Fund",SUM('LS-Fund 0044 Journal Entries'!$K$48,'LS-Fund 0044 Journal Entries'!K113),0)</f>
        <v>0</v>
      </c>
      <c r="I14" s="58"/>
      <c r="J14" s="61">
        <f>IF('LS-Fund 0044 Journal Entries'!$F$8="Proprietary - Internal Service Fund",SUM('LS-Fund 0044 Journal Entries'!$J$68,'LS-Fund 0044 Journal Entries'!J96),0)</f>
        <v>0</v>
      </c>
      <c r="K14" s="58"/>
      <c r="L14" s="63">
        <f>SUM(F14+H14-J14)</f>
        <v>0</v>
      </c>
      <c r="M14" s="58"/>
      <c r="N14" s="61">
        <f>IF('LS-Fund 0044 Journal Entries'!$F$8="Proprietary - Internal Service Fund",'LS-Fund 0044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0044 Journal Entries'!$F$8="Proprietary - Enterprise Fund",'LS-Fund 0044 Journal Entries'!$K$23,0)</f>
        <v>0</v>
      </c>
      <c r="G18" s="58"/>
      <c r="H18" s="61">
        <f>IF('LS-Fund 0044 Journal Entries'!$F$8="Proprietary - Enterprise Fund",SUM('LS-Fund 0044 Journal Entries'!$K$48,'LS-Fund 0044 Journal Entries'!K113),0)</f>
        <v>0</v>
      </c>
      <c r="I18" s="58"/>
      <c r="J18" s="61">
        <f>IF('LS-Fund 0044 Journal Entries'!$F$8="Proprietary - Enterprise Fund",SUM('LS-Fund 0044 Journal Entries'!$J$68,'LS-Fund 0044 Journal Entries'!J96),0)</f>
        <v>0</v>
      </c>
      <c r="K18" s="58"/>
      <c r="L18" s="63">
        <f>SUM(F18+H18-J18)</f>
        <v>0</v>
      </c>
      <c r="M18" s="58"/>
      <c r="N18" s="61">
        <f>IF('LS-Fund 0044 Journal Entries'!$F$8="Proprietary - Enterprise Fund",'LS-Fund 0044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'LS-Fund 0044 Journal Entries'!K23+'LS-Fund 0890 Journal Entries'!K23</f>
        <v>324176666</v>
      </c>
      <c r="C16" s="116" t="s">
        <v>145</v>
      </c>
      <c r="D16" s="84">
        <f>'LS-Fund 0044 Journal Entries'!K48+'LS-Fund 0890 Journal Entries'!K48</f>
        <v>104890086</v>
      </c>
      <c r="E16" s="118" t="s">
        <v>146</v>
      </c>
      <c r="F16" s="84">
        <f>'LS-Fund 0044 Journal Entries'!J68+'LS-Fund 0890 Journal Entries'!J68</f>
        <v>33406483</v>
      </c>
      <c r="G16" s="117" t="s">
        <v>146</v>
      </c>
      <c r="H16" s="84">
        <f>'LS-Fund 0044 Journal Entries'!J96+'LS-Fund 0890 Journal Entries'!J96</f>
        <v>32228342</v>
      </c>
      <c r="I16" s="117" t="s">
        <v>145</v>
      </c>
      <c r="J16" s="84">
        <f>'LS-Fund 0044 Journal Entries'!K113+'LS-Fund 0890 Journal Entries'!K113</f>
        <v>500117</v>
      </c>
      <c r="K16" s="118" t="s">
        <v>149</v>
      </c>
      <c r="L16" s="87">
        <f>+B16+D16-F16-H16+J16</f>
        <v>363932044</v>
      </c>
      <c r="M16" s="86"/>
      <c r="N16" s="88">
        <f>SUM('LS-Department Note Disclosure'!B13:B36)</f>
        <v>363932044</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0044 Journal Entries'!$F$8="Proprietary - Internal Service Fund",'LS-Fund 0044 Journal Entries'!$K$23,0)</f>
        <v>0</v>
      </c>
      <c r="C24" s="116" t="s">
        <v>145</v>
      </c>
      <c r="D24" s="84">
        <f>IF('LS-Fund 0044 Journal Entries'!$F$8="Proprietary - Internal Service Fund",'LS-Fund 0044 Journal Entries'!$K$48,0)</f>
        <v>0</v>
      </c>
      <c r="E24" s="118" t="s">
        <v>146</v>
      </c>
      <c r="F24" s="84">
        <f>IF('LS-Fund 0044 Journal Entries'!$F$8="Proprietary - Internal Service Fund",'LS-Fund 0044 Journal Entries'!$J$68,0)</f>
        <v>0</v>
      </c>
      <c r="G24" s="117" t="s">
        <v>146</v>
      </c>
      <c r="H24" s="84">
        <f>IF('LS-Fund 0044 Journal Entries'!$F$8="Proprietary - Internal Service Fund",'LS-Fund 0044 Journal Entries'!$J$96,0)</f>
        <v>0</v>
      </c>
      <c r="I24" s="117" t="s">
        <v>145</v>
      </c>
      <c r="J24" s="84">
        <f>IF('LS-Fund 0044 Journal Entries'!$F$8="Proprietary - Internal Service Fund",'LS-Fund 0044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0044 Journal Entries'!$F$8="Proprietary - Enterprise Fund",'LS-Fund 0044 Journal Entries'!$K$23,0)</f>
        <v>0</v>
      </c>
      <c r="C33" s="116" t="s">
        <v>145</v>
      </c>
      <c r="D33" s="84">
        <f>IF('LS-Fund 0044 Journal Entries'!$F$8="Proprietary - Enterprise Fund",'LS-Fund 0044 Journal Entries'!$K$48,0)</f>
        <v>0</v>
      </c>
      <c r="E33" s="118" t="s">
        <v>146</v>
      </c>
      <c r="F33" s="84">
        <f>IF('LS-Fund 0044 Journal Entries'!$F$8="Proprietary - Enterprise Fund",'LS-Fund 0044 Journal Entries'!$J$68,0)</f>
        <v>0</v>
      </c>
      <c r="G33" s="117" t="s">
        <v>146</v>
      </c>
      <c r="H33" s="84">
        <f>IF('LS-Fund 0044 Journal Entries'!$F$8="Proprietary - Enterprise Fund",'LS-Fund 0044 Journal Entries'!$J$96,0)</f>
        <v>0</v>
      </c>
      <c r="I33" s="117" t="s">
        <v>145</v>
      </c>
      <c r="J33" s="84">
        <f>IF('LS-Fund 0044 Journal Entries'!$F$8="Proprietary - Enterprise Fund",'LS-Fund 0044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'LS-Fund 0044 Journal Entries'!J75+'LS-Fund 0890 Journal Entries'!J75</f>
        <v>32594977</v>
      </c>
      <c r="C42" s="92"/>
      <c r="E42" s="92"/>
      <c r="G42" s="115"/>
      <c r="H42" s="115"/>
      <c r="I42" s="115"/>
      <c r="J42" s="115"/>
      <c r="K42" s="92"/>
      <c r="L42" s="92"/>
      <c r="M42" s="93"/>
      <c r="N42" s="88">
        <f>'LS-Department Note Disclosure'!B13</f>
        <v>32594977</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0044 Journal Entries'!$F$8="Proprietary - Internal Service Fund",'LS-Fund 0044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0044 Journal Entries'!$F$8="Proprietary - Enterprise Fund",'LS-Fund 0044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324176666</v>
      </c>
      <c r="J66" s="97">
        <f>SUM(D66)</f>
        <v>324176666</v>
      </c>
      <c r="L66" s="98" t="str">
        <f>CONCATENATE("Balance July 1, ",LEFT('LS-Department Note Disclosure'!$B$8,4))</f>
        <v>Balance July 1, 2023</v>
      </c>
      <c r="N66" s="97">
        <f>'LS-Lease Liabilities'!F10</f>
        <v>324176666</v>
      </c>
      <c r="P66" s="89">
        <f>J66-N66</f>
        <v>0</v>
      </c>
    </row>
    <row r="67" spans="1:17" x14ac:dyDescent="0.25">
      <c r="B67" s="79" t="s">
        <v>156</v>
      </c>
      <c r="D67" s="97">
        <f>$D$16</f>
        <v>104890086</v>
      </c>
      <c r="E67" s="119" t="s">
        <v>145</v>
      </c>
      <c r="F67" s="79" t="s">
        <v>1681</v>
      </c>
      <c r="H67" s="97">
        <f>$J$16</f>
        <v>500117</v>
      </c>
      <c r="J67" s="97">
        <f>SUM(D67,H67)</f>
        <v>105390203</v>
      </c>
      <c r="L67" s="98" t="s">
        <v>12</v>
      </c>
      <c r="N67" s="97">
        <f>'LS-Lease Liabilities'!H10</f>
        <v>105390203</v>
      </c>
      <c r="P67" s="89">
        <f t="shared" ref="P67:P69" si="0">J67-N67</f>
        <v>0</v>
      </c>
    </row>
    <row r="68" spans="1:17" x14ac:dyDescent="0.25">
      <c r="B68" s="79" t="s">
        <v>151</v>
      </c>
      <c r="D68" s="97">
        <f>$F$16</f>
        <v>33406483</v>
      </c>
      <c r="E68" s="119" t="s">
        <v>145</v>
      </c>
      <c r="F68" s="79" t="s">
        <v>1678</v>
      </c>
      <c r="H68" s="97">
        <f>$H$16</f>
        <v>32228342</v>
      </c>
      <c r="J68" s="97">
        <f>SUM(D68,H68)</f>
        <v>65634825</v>
      </c>
      <c r="L68" s="98" t="s">
        <v>13</v>
      </c>
      <c r="N68" s="97">
        <f>'LS-Lease Liabilities'!J10</f>
        <v>65634825</v>
      </c>
      <c r="P68" s="89">
        <f t="shared" si="0"/>
        <v>0</v>
      </c>
    </row>
    <row r="69" spans="1:17" x14ac:dyDescent="0.25">
      <c r="B69" s="79" t="s">
        <v>155</v>
      </c>
      <c r="D69" s="97">
        <f>$B$42</f>
        <v>32594977</v>
      </c>
      <c r="J69" s="97">
        <f>SUM(D69)</f>
        <v>32594977</v>
      </c>
      <c r="L69" s="98" t="s">
        <v>14</v>
      </c>
      <c r="N69" s="97">
        <f>'LS-Lease Liabilities'!N10</f>
        <v>32594977</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0044 Journal Entries</vt:lpstr>
      <vt:lpstr>LS-Fund 0890 Journal Entries</vt:lpstr>
      <vt:lpstr>LS-Department Note Disclosure</vt:lpstr>
      <vt:lpstr>LS-Lease Liabilities</vt:lpstr>
      <vt:lpstr>LS-Check Figures  </vt:lpstr>
      <vt:lpstr>'LS-Department Note Disclosure'!Print_Area</vt:lpstr>
      <vt:lpstr>'LS-Fund 0044 Journal Entries'!Print_Area</vt:lpstr>
      <vt:lpstr>'LS-Fund 0890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2025-01-17T02:05:15Z</dcterms:modified>
</cp:coreProperties>
</file>