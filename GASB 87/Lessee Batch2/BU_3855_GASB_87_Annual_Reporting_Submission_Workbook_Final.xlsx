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74DA934C-3890-4488-B41F-CBD985930EF2}" xr6:coauthVersionLast="47" xr6:coauthVersionMax="47" xr10:uidLastSave="{00000000-0000-0000-0000-000000000000}"/>
  <bookViews>
    <workbookView xWindow="-120" yWindow="-120" windowWidth="20730" windowHeight="11160" tabRatio="921" firstSheet="2" activeTab="6"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0140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K58" i="2"/>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<sst xmlns="http://schemas.openxmlformats.org/spreadsheetml/2006/main" count="7720" uniqueCount="1716">
  <si>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</si>
  <si>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</si>
  <si>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</si>
  <si>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</si>
  <si>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</si>
  <si>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</si>
  <si>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</si>
  <si>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</si>
  <si>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</si>
  <si>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</si>
  <si>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</si>
  <si>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</si>
  <si>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</si>
  <si>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</si>
  <si>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</si>
  <si>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</si>
  <si>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</si>
  <si>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</si>
  <si>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</si>
  <si>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</si>
  <si>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</si>
  <si>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</si>
  <si>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</si>
  <si>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</si>
  <si>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</si>
  <si>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</si>
  <si>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</si>
  <si>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</si>
  <si>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</si>
  <si>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</si>
  <si>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</si>
  <si>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</si>
  <si>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</si>
  <si>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</si>
  <si>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</si>
  <si>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</si>
  <si>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</si>
  <si>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</si>
  <si>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</si>
  <si>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</si>
  <si>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</si>
  <si>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</si>
  <si>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</si>
  <si>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</si>
  <si>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</si>
  <si>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</si>
  <si>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</si>
  <si>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</si>
  <si>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</si>
  <si>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</si>
  <si>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</si>
  <si>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</si>
  <si>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</si>
  <si>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</si>
  <si>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</si>
  <si>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</si>
  <si>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</si>
  <si>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</si>
  <si>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</si>
  <si>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</si>
  <si>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</si>
  <si>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</si>
  <si>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</si>
  <si>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</si>
  <si>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</si>
  <si>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</si>
  <si>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</si>
  <si>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</si>
  <si>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</si>
  <si>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</si>
  <si>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</si>
  <si>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</si>
  <si>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</si>
  <si>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</si>
  <si>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</si>
  <si>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</si>
  <si>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</si>
  <si>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</si>
  <si>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</si>
  <si>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</si>
  <si>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</si>
  <si>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</si>
  <si>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</si>
  <si>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</si>
  <si>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</si>
  <si>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</si>
  <si>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</si>
  <si>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</si>
  <si>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</si>
  <si>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</si>
  <si>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</si>
  <si>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</si>
  <si>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</si>
  <si>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</si>
  <si>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</si>
  <si>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</si>
  <si>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</si>
  <si>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</si>
  <si>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</si>
  <si>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</si>
  <si>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</si>
  <si>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</si>
  <si>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</si>
  <si>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</si>
  <si>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</si>
  <si>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</si>
  <si>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</si>
  <si>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</si>
  <si>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</si>
  <si>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</si>
  <si>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</si>
  <si>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</si>
  <si>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</si>
  <si>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</si>
  <si>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</si>
  <si>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</si>
  <si>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</si>
  <si>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</si>
  <si>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</si>
  <si>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</si>
  <si>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</si>
  <si>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</si>
  <si>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</si>
  <si>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</si>
  <si>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</si>
  <si>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</si>
  <si>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</si>
  <si>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</si>
  <si>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</si>
  <si>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</si>
  <si>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</si>
  <si>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</si>
  <si>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</si>
  <si>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</si>
  <si>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</si>
  <si>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</si>
  <si>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</si>
  <si>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</si>
  <si>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</si>
  <si>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</si>
  <si>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</si>
  <si>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</si>
  <si>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</si>
  <si>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</si>
  <si>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</si>
  <si>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</si>
  <si>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</si>
  <si>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</si>
  <si>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</si>
  <si>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</si>
  <si>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</si>
  <si>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</si>
  <si>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</si>
  <si>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</si>
  <si>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</si>
  <si>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</si>
  <si>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</si>
  <si>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</si>
  <si>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</si>
  <si>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</si>
  <si>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</si>
  <si>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</si>
  <si>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</si>
  <si>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</si>
  <si>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</si>
  <si>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</si>
  <si>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</si>
  <si>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</si>
  <si>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</si>
  <si>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</si>
  <si>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</si>
  <si>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</si>
  <si>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</si>
  <si>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</si>
  <si>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</si>
  <si>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</si>
  <si>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</si>
  <si>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</si>
  <si>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</si>
  <si>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</si>
  <si>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</si>
  <si>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</si>
  <si>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</si>
  <si>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</si>
  <si>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</si>
  <si>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</si>
  <si>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</si>
  <si>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</si>
  <si>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</si>
  <si>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</si>
  <si>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</si>
  <si>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</si>
  <si>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</si>
  <si>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</si>
  <si>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</si>
  <si>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</si>
  <si>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</si>
  <si>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</si>
  <si>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</si>
  <si>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</si>
  <si>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</si>
  <si>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</si>
  <si>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</si>
  <si>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</si>
  <si>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</si>
  <si>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</si>
  <si>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</si>
  <si>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</si>
  <si>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</si>
  <si>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</si>
  <si>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</si>
  <si>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</si>
  <si>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</si>
  <si>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</si>
  <si>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</si>
  <si>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</si>
  <si>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</si>
  <si>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</si>
  <si>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</si>
  <si>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</si>
  <si>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</si>
  <si>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</si>
  <si>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</si>
  <si>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</si>
  <si>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</si>
  <si>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</si>
  <si>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</si>
  <si>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</si>
  <si>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</si>
  <si>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</si>
  <si>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</si>
  <si>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</si>
  <si>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</si>
  <si>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</si>
  <si>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</si>
  <si>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</si>
  <si>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</si>
  <si>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</si>
  <si>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</si>
  <si>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</si>
  <si>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</si>
  <si>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</si>
  <si>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</si>
  <si>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</si>
  <si>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</si>
  <si>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</si>
  <si>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</si>
  <si>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</si>
  <si>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</si>
  <si>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</si>
  <si>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</si>
  <si>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</si>
  <si>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</si>
  <si>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</si>
  <si>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</si>
  <si>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</si>
  <si>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</si>
  <si>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</si>
  <si>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</si>
  <si>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</si>
  <si>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</si>
  <si>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</si>
  <si>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</si>
  <si>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</si>
  <si>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</si>
  <si>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</si>
  <si>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</si>
  <si>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</si>
  <si>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</si>
  <si>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</si>
  <si>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</si>
  <si>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</si>
  <si>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</si>
  <si>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</si>
  <si>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</si>
  <si>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</si>
  <si>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</si>
  <si>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</si>
  <si>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</si>
  <si>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</si>
  <si>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</si>
  <si>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</si>
  <si>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</si>
  <si>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</si>
  <si>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</si>
  <si>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</si>
  <si>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</si>
  <si>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</si>
  <si>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</si>
  <si>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</si>
  <si>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</si>
  <si>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</si>
  <si>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</si>
  <si>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</si>
  <si>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</si>
  <si>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</si>
  <si>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</si>
  <si>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</si>
  <si>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</si>
  <si>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</si>
  <si>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</si>
  <si>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</si>
  <si>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</si>
  <si>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</si>
  <si>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</si>
  <si>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</si>
  <si>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</si>
  <si>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</si>
  <si>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</si>
  <si>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</si>
  <si>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</si>
  <si>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</si>
  <si>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</si>
  <si>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</si>
  <si>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</si>
  <si>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</si>
  <si>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</si>
  <si>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</si>
  <si>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</si>
  <si>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</si>
  <si>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</si>
  <si>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</si>
  <si>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</si>
  <si>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</si>
  <si>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</si>
  <si>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</si>
  <si>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</si>
  <si>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</si>
  <si>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</si>
  <si>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</si>
  <si>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</si>
  <si>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</si>
  <si>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</si>
  <si>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</si>
  <si>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</si>
  <si>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</si>
  <si>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</si>
  <si>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</si>
  <si>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</si>
  <si>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</si>
  <si>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</si>
  <si>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</si>
  <si>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</si>
  <si>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</si>
  <si>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</si>
  <si>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</si>
  <si>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</si>
  <si>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</si>
  <si>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</si>
  <si>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</si>
  <si>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</si>
  <si>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</si>
  <si>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</si>
  <si>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</si>
  <si>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</si>
  <si>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</si>
  <si>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</si>
  <si>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</si>
  <si>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</si>
  <si>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</si>
  <si>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</si>
  <si>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</si>
  <si>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</si>
  <si>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</si>
  <si>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</si>
  <si>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</si>
  <si>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</si>
  <si>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</si>
  <si>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</si>
  <si>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</si>
  <si>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</si>
  <si>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</si>
  <si>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</si>
  <si>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</si>
  <si>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</si>
  <si>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</si>
  <si>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</si>
  <si>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</si>
  <si>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</si>
  <si>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</si>
  <si>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</si>
  <si>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</si>
  <si>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</si>
  <si>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</si>
  <si>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</si>
  <si>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</si>
  <si>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</si>
  <si>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</si>
  <si>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</si>
  <si>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</si>
  <si>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</si>
  <si>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</si>
  <si>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</si>
  <si>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</si>
  <si>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</si>
  <si>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</si>
  <si>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</si>
  <si>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</si>
  <si>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</si>
  <si>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</si>
  <si>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</si>
  <si>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</si>
  <si>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</si>
  <si>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</si>
  <si>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</si>
  <si>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</si>
  <si>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</si>
  <si>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</si>
  <si>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</si>
  <si>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</si>
  <si>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</si>
  <si>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</si>
  <si>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</si>
  <si>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</si>
  <si>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</si>
  <si>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</si>
  <si>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</si>
  <si>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</si>
  <si>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</si>
  <si>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</si>
  <si>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</si>
  <si>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</si>
  <si>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</si>
  <si>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</si>
  <si>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</si>
  <si>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</si>
  <si>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</si>
  <si>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</si>
  <si>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</si>
  <si>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</si>
  <si>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</si>
  <si>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</si>
  <si>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</si>
  <si>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</si>
  <si>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</si>
  <si>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</si>
  <si>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</si>
  <si>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</si>
  <si>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</si>
  <si>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</si>
  <si>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</si>
  <si>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</si>
  <si>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</si>
  <si>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</si>
  <si>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</si>
  <si>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</si>
  <si>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</si>
  <si>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</si>
  <si>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</si>
  <si>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</si>
  <si>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</si>
  <si>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</si>
  <si>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</si>
  <si>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</si>
  <si>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</si>
  <si>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</si>
  <si>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</si>
  <si>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</si>
  <si>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</si>
  <si>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</si>
  <si>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</si>
  <si>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</si>
  <si>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</si>
  <si>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</si>
  <si>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</si>
  <si>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</si>
  <si>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</si>
  <si>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</si>
  <si>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</si>
  <si>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</si>
  <si>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</si>
  <si>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</si>
  <si>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</si>
  <si>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</si>
  <si>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</si>
  <si>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</si>
  <si>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</si>
  <si>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</si>
  <si>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</si>
  <si>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</si>
  <si>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</si>
  <si>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</si>
  <si>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</si>
  <si>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</si>
  <si>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</si>
  <si>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</si>
  <si>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</si>
  <si>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</si>
  <si>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</si>
  <si>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</si>
  <si>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</si>
  <si>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</si>
  <si>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</si>
  <si>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</si>
  <si>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</si>
  <si>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</si>
  <si>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</si>
  <si>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</si>
  <si>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</si>
  <si>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</si>
  <si>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</si>
  <si>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</si>
  <si>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</si>
  <si>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</si>
  <si>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</si>
  <si>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</si>
  <si>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</si>
  <si>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</si>
  <si>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</si>
  <si>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</si>
  <si>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</si>
  <si>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</si>
  <si>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</si>
  <si>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</si>
  <si>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</si>
  <si>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</si>
  <si>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</si>
  <si>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</si>
  <si>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</si>
  <si>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</si>
  <si>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</si>
  <si>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</si>
  <si>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</si>
  <si>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</si>
  <si>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</si>
  <si>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</si>
  <si>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</si>
  <si>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</si>
  <si>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</si>
  <si>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</si>
  <si>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</si>
  <si>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</si>
  <si>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</si>
  <si>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</si>
  <si>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</si>
  <si>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</si>
  <si>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</si>
  <si>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</si>
  <si>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</si>
  <si>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</si>
  <si>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</si>
  <si>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</si>
  <si>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</si>
  <si>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</si>
  <si>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</si>
  <si>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</si>
  <si>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</si>
  <si>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</si>
  <si>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</si>
  <si>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</si>
  <si>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</si>
  <si>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</si>
  <si>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</si>
  <si>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</si>
  <si>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</si>
  <si>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</si>
  <si>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</si>
  <si>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</si>
  <si>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</si>
  <si>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</si>
  <si>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</si>
  <si>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</si>
  <si>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</si>
  <si>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</si>
  <si>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</si>
  <si>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</si>
  <si>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</si>
  <si>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</si>
  <si>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</si>
  <si>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</si>
  <si>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</si>
  <si>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</si>
  <si>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</si>
  <si>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</si>
  <si>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</si>
  <si>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</si>
  <si>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</si>
  <si>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</si>
  <si>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</si>
  <si>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</si>
  <si>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</si>
  <si>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</si>
  <si>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</si>
  <si>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</si>
  <si>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</si>
  <si>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</si>
  <si>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</si>
  <si>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</si>
  <si>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</si>
  <si>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</si>
  <si>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</si>
  <si>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</si>
  <si>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</si>
  <si>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</si>
  <si>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</si>
  <si>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</si>
  <si>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</si>
  <si>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</si>
  <si>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</si>
  <si>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</si>
  <si>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</si>
  <si>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</si>
  <si>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</si>
  <si>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</si>
  <si>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</si>
  <si>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</si>
  <si>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</si>
  <si>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</si>
  <si>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</si>
  <si>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</si>
  <si>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</si>
  <si>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</si>
  <si>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</si>
  <si>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</si>
  <si>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</si>
  <si>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</si>
  <si>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</si>
  <si>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</si>
  <si>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</si>
  <si>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</si>
  <si>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</si>
  <si>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</si>
  <si>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</si>
  <si>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</si>
  <si>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</si>
  <si>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</si>
  <si>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</si>
  <si>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</si>
  <si>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</si>
  <si>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</si>
  <si>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</si>
  <si>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</si>
  <si>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</si>
  <si>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</si>
  <si>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</si>
  <si>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</si>
  <si>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</si>
  <si>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</si>
  <si>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</si>
  <si>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</si>
  <si>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</si>
  <si>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</si>
  <si>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</si>
  <si>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</si>
  <si>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</si>
  <si>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</si>
  <si>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</si>
  <si>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</si>
  <si>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</si>
  <si>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</si>
  <si>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</si>
  <si>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</si>
  <si>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</si>
  <si>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</si>
  <si>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</si>
  <si>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</si>
  <si>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</si>
  <si>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</si>
  <si>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</si>
  <si>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</si>
  <si>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</si>
  <si>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</si>
  <si>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</si>
  <si>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</si>
  <si>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</si>
  <si>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</si>
  <si>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</si>
  <si>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</si>
  <si>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</si>
  <si>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</si>
  <si>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</si>
  <si>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</si>
  <si>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</si>
  <si>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</si>
  <si>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</si>
  <si>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</si>
  <si>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</si>
  <si>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</si>
  <si>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</si>
  <si>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</si>
  <si>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</si>
  <si>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</si>
  <si>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</si>
  <si>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</si>
  <si>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</si>
  <si>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</si>
  <si>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</si>
  <si>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</si>
  <si>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</si>
  <si>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</si>
  <si>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</si>
  <si>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</si>
  <si>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</si>
  <si>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</si>
  <si>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</si>
  <si>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</si>
  <si>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</si>
  <si>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</si>
  <si>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</si>
  <si>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</si>
  <si>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</si>
  <si>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</si>
  <si>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</si>
  <si>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</si>
  <si>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</si>
  <si>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</si>
  <si>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</si>
  <si>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</si>
  <si>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</si>
  <si>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</si>
  <si>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</si>
  <si>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</si>
  <si>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</si>
  <si>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</si>
  <si>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</si>
  <si>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</si>
  <si>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</si>
  <si>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</si>
  <si>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</si>
  <si>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</si>
  <si>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</si>
  <si>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</si>
  <si>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</si>
  <si>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</si>
  <si>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</si>
  <si>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</si>
  <si>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</si>
  <si>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</si>
  <si>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</si>
  <si>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</si>
  <si>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</si>
  <si>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</si>
  <si>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</si>
  <si>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</si>
  <si>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</si>
  <si>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</si>
  <si>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</si>
  <si>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</si>
  <si>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</si>
  <si>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</si>
  <si>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</si>
  <si>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</si>
  <si>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</si>
  <si>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</si>
  <si>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</si>
  <si>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</si>
  <si>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</si>
  <si>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</si>
  <si>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</si>
  <si>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</si>
  <si>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</si>
  <si>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</si>
  <si>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</si>
  <si>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</si>
  <si>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</si>
  <si>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</si>
  <si>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</si>
  <si>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</si>
  <si>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</si>
  <si>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</si>
  <si>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</si>
  <si>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</si>
  <si>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</si>
  <si>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</si>
  <si>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</si>
  <si>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</si>
  <si>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</si>
  <si>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</si>
  <si>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</si>
  <si>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</si>
  <si>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</si>
  <si>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</si>
  <si>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</si>
  <si>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</si>
  <si>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</si>
  <si>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</si>
  <si>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</si>
  <si>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</si>
  <si>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</si>
  <si>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</si>
  <si>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</si>
  <si>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</si>
  <si>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</si>
  <si>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</si>
  <si>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</si>
  <si>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</si>
  <si>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</si>
  <si>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</si>
  <si>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</si>
  <si>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</si>
  <si>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</si>
  <si>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</si>
  <si>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</si>
  <si>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</si>
  <si>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</si>
  <si>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</si>
  <si>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</si>
  <si>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</si>
  <si>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</si>
  <si>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</si>
  <si>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</si>
  <si>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</si>
  <si>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</si>
  <si>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</si>
  <si>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</si>
  <si>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</si>
  <si>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</si>
  <si>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</si>
  <si>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</si>
  <si>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</si>
  <si>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</si>
  <si>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</si>
  <si>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</si>
  <si>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</si>
  <si>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</si>
  <si>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</si>
  <si>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</si>
  <si>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</si>
  <si>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</si>
  <si>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</si>
  <si>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</si>
  <si>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</si>
  <si>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</si>
  <si>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</si>
  <si>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</si>
  <si>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</si>
  <si>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</si>
  <si>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</si>
  <si>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</si>
  <si>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</si>
  <si>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</si>
  <si>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</si>
  <si>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</si>
  <si>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</si>
  <si>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</si>
  <si>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</si>
  <si>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</si>
  <si>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</si>
  <si>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</si>
  <si>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</si>
  <si>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</si>
  <si>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</si>
  <si>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</si>
  <si>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</si>
  <si>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</si>
  <si>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</si>
  <si>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</si>
  <si>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</si>
  <si>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</si>
  <si>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</si>
  <si>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</si>
  <si>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</si>
  <si>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</si>
  <si>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</si>
  <si>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</si>
  <si>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</si>
  <si>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</si>
  <si>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</si>
  <si>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</si>
  <si>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</si>
  <si>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</si>
  <si>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</si>
  <si>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</si>
  <si>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</si>
  <si>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</si>
  <si>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</si>
  <si>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</si>
  <si>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</si>
  <si>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</si>
  <si>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</si>
  <si>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</si>
  <si>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</si>
  <si>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</si>
  <si>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</si>
  <si>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</si>
  <si>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</si>
  <si>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</si>
  <si>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</si>
  <si>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</si>
  <si>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</si>
  <si>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</si>
  <si>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</si>
  <si>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</si>
  <si>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</si>
  <si>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</si>
  <si>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</si>
  <si>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</si>
  <si>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</si>
  <si>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</si>
  <si>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</si>
  <si>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</si>
  <si>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</si>
  <si>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</si>
  <si>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</si>
  <si>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</si>
  <si>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</si>
  <si>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</si>
  <si>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</si>
  <si>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</si>
  <si>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</si>
  <si>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</si>
  <si>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</si>
  <si>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</si>
  <si>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</si>
  <si>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</si>
  <si>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</si>
  <si>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</si>
  <si>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</si>
  <si>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</si>
  <si>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</si>
  <si>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</si>
  <si>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</si>
  <si>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</si>
  <si>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</si>
  <si>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</si>
  <si>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</si>
  <si>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</si>
  <si>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</si>
  <si>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</si>
  <si>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</si>
  <si>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</si>
  <si>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</si>
  <si>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</si>
  <si>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</si>
  <si>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</si>
  <si>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</si>
  <si>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</si>
  <si>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</si>
  <si>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</si>
  <si>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</si>
  <si>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</si>
  <si>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</si>
  <si>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</si>
  <si>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</si>
  <si>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</si>
  <si>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</si>
  <si>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</si>
  <si>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</si>
  <si>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</si>
  <si>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</si>
  <si>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</si>
  <si>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</si>
  <si>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</si>
  <si>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</si>
  <si>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</si>
  <si>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</si>
  <si>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</si>
  <si>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</si>
  <si>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</si>
  <si>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</si>
  <si>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</si>
  <si>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</si>
  <si>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</si>
  <si>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</si>
  <si>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</si>
  <si>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</si>
  <si>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</si>
  <si>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</si>
  <si>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</si>
  <si>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</si>
  <si>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</si>
  <si>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</si>
  <si>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</si>
  <si>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</si>
  <si>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</si>
  <si>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</si>
  <si>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</si>
  <si>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</si>
  <si>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</si>
  <si>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</si>
  <si>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</si>
  <si>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</si>
  <si>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</si>
  <si>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</si>
  <si>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</si>
  <si>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</si>
  <si>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</si>
  <si>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</si>
  <si>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</si>
  <si>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</si>
  <si>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</si>
  <si>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</si>
  <si>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</si>
  <si>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</si>
  <si>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</si>
  <si>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</si>
  <si>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</si>
  <si>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</si>
  <si>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</si>
  <si>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</si>
  <si>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</si>
  <si>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</si>
  <si>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</si>
  <si>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</si>
  <si>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</si>
  <si>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</si>
  <si>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</si>
  <si>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</si>
  <si>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</si>
  <si>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</si>
  <si>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</si>
  <si>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</si>
  <si>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</si>
  <si>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</si>
  <si>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</si>
  <si>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</si>
  <si>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</si>
  <si>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</si>
  <si>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</si>
  <si>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</si>
  <si>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</si>
  <si>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</si>
  <si>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</si>
  <si>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</si>
  <si>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</si>
  <si>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</si>
  <si>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</si>
  <si>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</si>
  <si>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</si>
  <si>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</si>
  <si>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</si>
  <si>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</si>
  <si>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</si>
  <si>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</si>
  <si>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</si>
  <si>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</si>
  <si>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</si>
  <si>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</si>
  <si>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</si>
  <si>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</si>
  <si>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</si>
  <si>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</si>
  <si>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</si>
  <si>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</si>
  <si>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</si>
  <si>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</si>
  <si>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</si>
  <si>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</si>
  <si>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</si>
  <si>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</si>
  <si>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</si>
  <si>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</si>
  <si>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</si>
  <si>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</si>
  <si>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</si>
  <si>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</si>
  <si>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</si>
  <si>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</si>
  <si>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</si>
  <si>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</si>
  <si>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</si>
  <si>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</si>
  <si>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</si>
  <si>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</si>
  <si>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</si>
  <si>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</si>
  <si>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</si>
  <si>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</si>
  <si>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</si>
  <si>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</si>
  <si>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</si>
  <si>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</si>
  <si>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</si>
  <si>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</si>
  <si>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</si>
  <si>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</si>
  <si>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</si>
  <si>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</si>
  <si>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</si>
  <si>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</si>
  <si>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</si>
  <si>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</si>
  <si>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</si>
  <si>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</si>
  <si>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</si>
  <si>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</si>
  <si>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</si>
  <si>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</si>
  <si>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</si>
  <si>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</si>
  <si>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</si>
  <si>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</si>
  <si>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</si>
  <si>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</si>
  <si>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</si>
  <si>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</si>
  <si>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</si>
  <si>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</si>
  <si>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</si>
  <si>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</si>
  <si>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</si>
  <si>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</si>
  <si>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</si>
  <si>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</si>
  <si>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</si>
  <si>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</si>
  <si>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</si>
  <si>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</si>
  <si>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</si>
  <si>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</si>
  <si>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</si>
  <si>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</si>
  <si>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</si>
  <si>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</si>
  <si>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</si>
  <si>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</si>
  <si>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</si>
  <si>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</si>
  <si>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</si>
  <si>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</si>
  <si>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</si>
  <si>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</si>
  <si>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</si>
  <si>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</si>
  <si>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</si>
  <si>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</si>
  <si>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</si>
  <si>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</si>
  <si>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</si>
  <si>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</si>
  <si>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</si>
  <si>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</si>
  <si>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</si>
  <si>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</si>
  <si>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</si>
  <si>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</si>
  <si>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</si>
  <si>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</si>
  <si>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</si>
  <si>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</si>
  <si>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</si>
  <si>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</si>
  <si>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</si>
  <si>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</si>
  <si>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</si>
  <si>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</si>
  <si>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</si>
  <si>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</si>
  <si>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</si>
  <si>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</si>
  <si>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</si>
  <si>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</si>
  <si>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</si>
  <si>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</si>
  <si>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</si>
  <si>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</si>
  <si>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</si>
  <si>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</si>
  <si>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</si>
  <si>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</si>
  <si>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</si>
  <si>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</si>
  <si>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</si>
  <si>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</si>
  <si>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</si>
  <si>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</si>
  <si>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</si>
  <si>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</si>
  <si>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</si>
  <si>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</si>
  <si>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</si>
  <si>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</si>
  <si>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</si>
  <si>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</si>
  <si>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</si>
  <si>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</si>
  <si>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</si>
  <si>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</si>
  <si>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</si>
  <si>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</si>
  <si>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</si>
  <si>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</si>
  <si>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</si>
  <si>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</si>
  <si>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</si>
  <si>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</si>
  <si>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</si>
  <si>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</si>
  <si>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</si>
  <si>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</si>
  <si>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</si>
  <si>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</si>
  <si>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</si>
  <si>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</si>
  <si>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</si>
  <si>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</si>
  <si>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</si>
  <si>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</si>
  <si>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</si>
  <si>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</si>
  <si>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</si>
  <si>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</si>
  <si>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</si>
  <si>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</si>
  <si>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</si>
  <si>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</si>
  <si>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</si>
  <si>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</si>
  <si>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</si>
  <si>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</si>
  <si>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</si>
  <si>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</si>
  <si>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</si>
  <si>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</si>
  <si>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</si>
  <si>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</si>
  <si>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</si>
  <si>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</si>
  <si>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</si>
  <si>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</si>
  <si>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</si>
  <si>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</si>
  <si>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</si>
  <si>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</si>
  <si>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</si>
  <si>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</si>
  <si>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</si>
  <si>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</si>
  <si>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</si>
  <si>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</si>
  <si>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</si>
  <si>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</si>
  <si>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</si>
  <si>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</si>
  <si>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</si>
  <si>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</si>
  <si>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</si>
  <si>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</si>
  <si>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</si>
  <si>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</si>
  <si>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</si>
  <si>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</si>
  <si>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</si>
  <si>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</si>
  <si>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</si>
  <si>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</si>
  <si>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</si>
  <si>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</si>
  <si>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</si>
  <si>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</si>
  <si>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</si>
  <si>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</si>
  <si>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</si>
  <si>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</si>
  <si>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</si>
  <si>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</si>
  <si>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</si>
  <si>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</si>
  <si>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</si>
  <si>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</si>
  <si>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</si>
  <si>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</si>
  <si>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</si>
  <si>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</si>
  <si>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</si>
  <si>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</si>
  <si>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</si>
  <si>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</si>
  <si>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</si>
  <si>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</si>
  <si>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</si>
  <si>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</si>
  <si>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</si>
  <si>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</si>
  <si>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</si>
  <si>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</si>
  <si>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</si>
  <si>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</si>
  <si>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</si>
  <si>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</si>
  <si>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</si>
  <si>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</si>
  <si>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</si>
  <si>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</si>
  <si>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</si>
  <si>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</si>
  <si>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</si>
  <si>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</si>
  <si>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</si>
  <si>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</si>
  <si>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</si>
  <si>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</si>
  <si>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</si>
  <si>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</si>
  <si>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</si>
  <si>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</si>
  <si>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</si>
  <si>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</si>
  <si>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</si>
  <si>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</si>
  <si>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</si>
  <si>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</si>
  <si>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</si>
  <si>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</si>
  <si>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</si>
  <si>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</si>
  <si>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</si>
  <si>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</si>
  <si>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</si>
  <si>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</si>
  <si>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</si>
  <si>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</si>
  <si>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</si>
  <si>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</si>
  <si>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</si>
  <si>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</si>
  <si>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</si>
  <si>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</si>
  <si>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</si>
  <si>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</si>
  <si>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</si>
  <si>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</si>
  <si>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</si>
  <si>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</si>
  <si>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</si>
  <si>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</si>
  <si>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</si>
  <si>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</si>
  <si>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</si>
  <si>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</si>
  <si>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</si>
  <si>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</si>
  <si>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</si>
  <si>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</si>
  <si>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</si>
  <si>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</si>
  <si>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</si>
  <si>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</si>
  <si>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</si>
  <si>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</si>
  <si>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</si>
  <si>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</si>
  <si>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</si>
  <si>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</si>
  <si>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</si>
  <si>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</si>
  <si>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</si>
  <si>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</si>
  <si>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</si>
  <si>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</si>
  <si>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</si>
  <si>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</si>
  <si>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</si>
  <si>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</si>
  <si>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</si>
  <si>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</si>
  <si>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</si>
  <si>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</si>
  <si>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</si>
  <si>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</si>
  <si>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</si>
  <si>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</si>
  <si>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</si>
  <si>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</si>
  <si>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</si>
  <si>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</si>
  <si>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</si>
  <si>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</si>
  <si>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</si>
  <si>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</si>
  <si>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</si>
  <si>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</si>
  <si>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</si>
  <si>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</si>
  <si>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</si>
  <si>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</si>
  <si>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</si>
  <si>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</si>
  <si>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</si>
  <si>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</si>
  <si>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</si>
  <si>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</si>
  <si>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</si>
  <si>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</si>
  <si>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</si>
  <si>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</si>
  <si>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</si>
  <si>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</si>
  <si>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</si>
  <si>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</si>
  <si>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</si>
  <si>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</si>
  <si>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</si>
  <si>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</si>
  <si>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</si>
  <si>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</si>
  <si>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</si>
  <si>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</si>
  <si>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</si>
  <si>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</si>
  <si>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</si>
  <si>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</si>
  <si>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</si>
  <si>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</si>
  <si>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</si>
  <si>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</si>
  <si>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</si>
  <si>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</si>
  <si>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</si>
  <si>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</si>
  <si>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</si>
  <si>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</si>
  <si>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</si>
  <si>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</si>
  <si>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</si>
  <si>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</si>
  <si>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</si>
  <si>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</si>
  <si>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</si>
  <si>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</si>
  <si>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</si>
  <si>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</si>
  <si>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</si>
  <si>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</si>
  <si>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</si>
  <si>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</si>
  <si>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</si>
  <si>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</si>
  <si>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</si>
  <si>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</si>
  <si>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</si>
  <si>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</si>
  <si>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</si>
  <si>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</si>
  <si>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</si>
  <si>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</si>
  <si>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</si>
  <si>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</si>
  <si>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</si>
  <si>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</si>
  <si>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</si>
  <si>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</si>
  <si>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</si>
  <si>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</si>
  <si>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</si>
  <si>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</si>
  <si>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</si>
  <si>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</si>
  <si>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</si>
  <si>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</si>
  <si>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</si>
  <si>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</si>
  <si>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</si>
  <si>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</si>
  <si>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</si>
  <si>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</si>
  <si>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</si>
  <si>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</si>
  <si>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</si>
  <si>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</si>
  <si>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</si>
  <si>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</si>
  <si>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</si>
  <si>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</si>
  <si>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</si>
  <si>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</si>
  <si>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</si>
  <si>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</si>
  <si>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</si>
  <si>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</si>
  <si>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</si>
  <si>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</si>
  <si>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</si>
  <si>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</si>
  <si>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</si>
  <si>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</si>
  <si>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</si>
  <si>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</si>
  <si>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</si>
  <si>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</si>
  <si>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</si>
  <si>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</si>
  <si>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</si>
  <si>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</si>
  <si>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</si>
  <si>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</si>
  <si>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</si>
  <si>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</si>
  <si>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</si>
  <si>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</si>
  <si>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</si>
  <si>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</si>
  <si>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</si>
  <si>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</si>
  <si>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</si>
  <si>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</si>
  <si>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</si>
  <si>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</si>
  <si>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</si>
  <si>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</si>
  <si>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</si>
  <si>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</si>
  <si>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</si>
  <si>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</si>
  <si>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</si>
  <si>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</si>
  <si>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</si>
  <si>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</si>
  <si>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</si>
  <si>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</si>
  <si>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</si>
  <si>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</si>
  <si>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</si>
  <si>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</si>
  <si>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</si>
  <si>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</si>
  <si>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</si>
  <si>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</si>
  <si>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</si>
  <si>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</si>
  <si>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</si>
  <si>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</si>
  <si>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</si>
  <si>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</si>
  <si>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</si>
  <si>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</si>
  <si>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</si>
  <si>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</si>
  <si>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</si>
  <si>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</si>
  <si>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</si>
  <si>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</si>
  <si>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</si>
  <si>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</si>
  <si>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</si>
  <si>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</si>
  <si>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</si>
  <si>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</si>
  <si>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</si>
  <si>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</si>
  <si>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</si>
  <si>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</si>
  <si>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</si>
  <si>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</si>
  <si>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</si>
  <si>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</si>
  <si>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</si>
  <si>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</si>
  <si>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</si>
  <si>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</si>
  <si>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</si>
  <si>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</si>
  <si>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</si>
  <si>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</si>
  <si>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</si>
  <si>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</si>
  <si>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</si>
  <si>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</si>
  <si>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</si>
  <si>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</si>
  <si>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</si>
  <si>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</si>
  <si>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</si>
  <si>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</si>
  <si>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</si>
  <si>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</si>
  <si>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</si>
  <si>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</si>
  <si>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</si>
  <si>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</si>
  <si>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</si>
  <si>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</si>
  <si>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</si>
  <si>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</si>
  <si>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</si>
  <si>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</si>
  <si>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</si>
  <si>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</si>
  <si>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</si>
  <si>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</si>
  <si>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</si>
  <si>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</si>
  <si>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</si>
  <si>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</si>
  <si>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</si>
  <si>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</si>
  <si>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</si>
  <si>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</si>
  <si>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</si>
  <si>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</si>
  <si>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</si>
  <si>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</si>
  <si>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</si>
  <si>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</si>
  <si>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</si>
  <si>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</si>
  <si>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</si>
  <si>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</si>
  <si>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</si>
  <si>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</si>
  <si>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</si>
  <si>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</si>
  <si>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</si>
  <si>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</si>
  <si>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</si>
  <si>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</si>
  <si>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</si>
  <si>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</si>
  <si>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</si>
  <si>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</si>
  <si>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</si>
  <si>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</si>
  <si>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</si>
  <si>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</si>
  <si>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</si>
  <si>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</si>
  <si>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</si>
  <si>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</si>
  <si>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</si>
  <si>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</si>
  <si>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</si>
  <si>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</si>
  <si>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</si>
  <si>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</si>
  <si>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</si>
  <si>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</si>
  <si>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</si>
  <si>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</si>
  <si>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</si>
  <si>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</si>
  <si>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</si>
  <si>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</si>
  <si>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</si>
  <si>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</si>
  <si>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</si>
  <si>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</si>
  <si>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</si>
  <si>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</si>
  <si>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</si>
  <si>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</si>
  <si>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</si>
  <si>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</si>
  <si>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</si>
  <si>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</si>
  <si>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</si>
  <si>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</si>
  <si>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</si>
  <si>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</si>
  <si>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</si>
  <si>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</si>
  <si>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</si>
  <si>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</si>
  <si>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</si>
  <si>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</si>
  <si>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</si>
  <si>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</si>
  <si>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</si>
  <si>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</si>
  <si>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</si>
  <si>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</si>
  <si>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</si>
  <si>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</si>
  <si>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</si>
  <si>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</si>
  <si>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</si>
  <si>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</si>
  <si>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</si>
  <si>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</si>
  <si>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</si>
  <si>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</si>
  <si>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</si>
  <si>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</si>
  <si>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</si>
  <si>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</si>
  <si>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</si>
  <si>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</si>
  <si>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</si>
  <si>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</si>
  <si>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</si>
  <si>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</si>
  <si>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</si>
  <si>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</si>
  <si>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</si>
  <si>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</si>
  <si>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</si>
  <si>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</si>
  <si>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</si>
  <si>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</si>
  <si>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</si>
  <si>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</si>
  <si>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</si>
  <si>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</si>
  <si>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</si>
  <si>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</si>
  <si>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</si>
  <si>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</si>
  <si>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</si>
  <si>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</si>
  <si>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</si>
  <si>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</si>
  <si>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</si>
  <si>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</si>
  <si>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</si>
  <si>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</si>
  <si>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</si>
  <si>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</si>
  <si>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</si>
  <si>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</si>
  <si>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</si>
  <si>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</si>
  <si>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</si>
  <si>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</si>
  <si>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</si>
  <si>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</si>
  <si>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</si>
  <si>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</si>
  <si>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</si>
  <si>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</si>
  <si>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</si>
  <si>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</si>
  <si>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</si>
  <si>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</si>
  <si>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</si>
  <si>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</si>
  <si>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</si>
  <si>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Sierra Nevada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</si>
</sst>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O:\CFS\EXCEL\BU_3855_SNC\Annual%20Reporting%20%20-%20GASB%2087%20&amp;%2096\GASB%2087\FY%202023-24\3855_FY23-24_GASB_87_Lessee_Template_V3.xlsx" TargetMode="External"/><Relationship Id="rId1" Type="http://schemas.openxmlformats.org/officeDocument/2006/relationships/externalLinkPath" Target="file:///O:\CFS\EXCEL\BU_3855_SNC\Annual%20Reporting%20%20-%20GASB%2087%20&amp;%2096\GASB%2087\FY%202023-24\3855_FY23-24_GASB_87_Lessee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 menus"/>
      <sheetName val="Version Changes"/>
      <sheetName val="Example 1 Input"/>
      <sheetName val="Example 1 Output"/>
      <sheetName val="Ex 1 Note Disclosure"/>
      <sheetName val="Auburn Creekside Input"/>
      <sheetName val="Auburn Creekside Output"/>
      <sheetName val="Auburn Creeksid Note Disclosure"/>
      <sheetName val="qryIndex02a"/>
    </sheetNames>
    <sheetDataSet>
      <sheetData sheetId="0"/>
      <sheetData sheetId="1"/>
      <sheetData sheetId="2"/>
      <sheetData sheetId="3"/>
      <sheetData sheetId="4"/>
      <sheetData sheetId="5">
        <row r="25">
          <cell r="G25">
            <v>21034.566080290027</v>
          </cell>
          <cell r="J25" t="str">
            <v>2021–2022</v>
          </cell>
        </row>
        <row r="26">
          <cell r="G26">
            <v>21034.566080290027</v>
          </cell>
          <cell r="J26" t="str">
            <v>2021–2022</v>
          </cell>
        </row>
        <row r="27">
          <cell r="G27">
            <v>21034.566080290027</v>
          </cell>
          <cell r="J27" t="str">
            <v>2021–2022</v>
          </cell>
        </row>
        <row r="28">
          <cell r="G28">
            <v>21034.566080290027</v>
          </cell>
          <cell r="J28" t="str">
            <v>2021–2022</v>
          </cell>
        </row>
        <row r="29">
          <cell r="G29">
            <v>21034.566080290027</v>
          </cell>
          <cell r="J29" t="str">
            <v>2021–2022</v>
          </cell>
        </row>
        <row r="30">
          <cell r="G30">
            <v>21034.566080290027</v>
          </cell>
          <cell r="J30" t="str">
            <v>2021–2022</v>
          </cell>
        </row>
        <row r="31">
          <cell r="G31">
            <v>21034.566080290027</v>
          </cell>
          <cell r="J31" t="str">
            <v>2021–2022</v>
          </cell>
        </row>
        <row r="32">
          <cell r="G32">
            <v>21034.566080290027</v>
          </cell>
          <cell r="J32" t="str">
            <v>2021–2022</v>
          </cell>
        </row>
        <row r="33">
          <cell r="G33">
            <v>21034.566080290027</v>
          </cell>
          <cell r="J33" t="str">
            <v>2021–2022</v>
          </cell>
        </row>
        <row r="34">
          <cell r="G34">
            <v>21034.566080290027</v>
          </cell>
          <cell r="J34" t="str">
            <v>2021–2022</v>
          </cell>
        </row>
        <row r="35">
          <cell r="G35">
            <v>21034.566080290027</v>
          </cell>
          <cell r="J35" t="str">
            <v>2021–2022</v>
          </cell>
        </row>
        <row r="36">
          <cell r="G36">
            <v>21034.566080290027</v>
          </cell>
          <cell r="J36" t="str">
            <v>2021–2022</v>
          </cell>
        </row>
        <row r="37">
          <cell r="G37">
            <v>21034.566080290027</v>
          </cell>
          <cell r="J37" t="str">
            <v>2022–2023</v>
          </cell>
        </row>
        <row r="38">
          <cell r="G38">
            <v>21034.566080290027</v>
          </cell>
          <cell r="J38" t="str">
            <v>2022–2023</v>
          </cell>
        </row>
        <row r="39">
          <cell r="G39">
            <v>21034.566080290027</v>
          </cell>
          <cell r="J39" t="str">
            <v>2022–2023</v>
          </cell>
        </row>
        <row r="40">
          <cell r="G40">
            <v>21034.566080290027</v>
          </cell>
          <cell r="J40" t="str">
            <v>2022–2023</v>
          </cell>
        </row>
        <row r="41">
          <cell r="G41">
            <v>21034.566080290027</v>
          </cell>
          <cell r="J41" t="str">
            <v>2022–2023</v>
          </cell>
        </row>
        <row r="42">
          <cell r="G42">
            <v>21034.566080290027</v>
          </cell>
          <cell r="J42" t="str">
            <v>2022–2023</v>
          </cell>
        </row>
        <row r="43">
          <cell r="G43">
            <v>21034.566080290027</v>
          </cell>
          <cell r="J43" t="str">
            <v>2022–2023</v>
          </cell>
        </row>
        <row r="44">
          <cell r="G44">
            <v>21034.566080290027</v>
          </cell>
          <cell r="J44" t="str">
            <v>2022–2023</v>
          </cell>
        </row>
        <row r="45">
          <cell r="G45">
            <v>21034.566080290027</v>
          </cell>
          <cell r="J45" t="str">
            <v>2022–2023</v>
          </cell>
        </row>
        <row r="46">
          <cell r="G46">
            <v>21034.566080290027</v>
          </cell>
          <cell r="J46" t="str">
            <v>2022–2023</v>
          </cell>
        </row>
        <row r="47">
          <cell r="G47">
            <v>21034.566080290027</v>
          </cell>
          <cell r="J47" t="str">
            <v>2022–2023</v>
          </cell>
        </row>
        <row r="48">
          <cell r="G48">
            <v>21034.566080290027</v>
          </cell>
          <cell r="J48" t="str">
            <v>2022–2023</v>
          </cell>
        </row>
        <row r="49">
          <cell r="G49">
            <v>21034.566080290027</v>
          </cell>
          <cell r="J49" t="str">
            <v>2023–2024</v>
          </cell>
        </row>
        <row r="50">
          <cell r="G50">
            <v>21034.566080290027</v>
          </cell>
          <cell r="J50" t="str">
            <v>2023–2024</v>
          </cell>
        </row>
        <row r="51">
          <cell r="G51">
            <v>21034.566080290027</v>
          </cell>
          <cell r="J51" t="str">
            <v>2023–2024</v>
          </cell>
        </row>
        <row r="52">
          <cell r="G52">
            <v>21034.566080290027</v>
          </cell>
          <cell r="J52" t="str">
            <v>2023–2024</v>
          </cell>
        </row>
        <row r="53">
          <cell r="G53">
            <v>21034.566080290027</v>
          </cell>
          <cell r="J53" t="str">
            <v>2023–2024</v>
          </cell>
        </row>
        <row r="54">
          <cell r="G54">
            <v>21034.566080290027</v>
          </cell>
          <cell r="J54" t="str">
            <v>2023–2024</v>
          </cell>
        </row>
        <row r="55">
          <cell r="G55">
            <v>21034.566080290027</v>
          </cell>
          <cell r="J55" t="str">
            <v>2023–2024</v>
          </cell>
        </row>
        <row r="56">
          <cell r="G56">
            <v>21034.566080290027</v>
          </cell>
          <cell r="J56" t="str">
            <v>2023–2024</v>
          </cell>
        </row>
        <row r="57">
          <cell r="G57">
            <v>21034.566080290027</v>
          </cell>
          <cell r="J57" t="str">
            <v>2023–2024</v>
          </cell>
        </row>
        <row r="58">
          <cell r="G58">
            <v>21034.566080290027</v>
          </cell>
          <cell r="J58" t="str">
            <v>2023–2024</v>
          </cell>
        </row>
        <row r="59">
          <cell r="G59">
            <v>21034.566080290027</v>
          </cell>
          <cell r="J59" t="str">
            <v>2023–2024</v>
          </cell>
        </row>
        <row r="60">
          <cell r="G60">
            <v>21034.566080290027</v>
          </cell>
          <cell r="J60" t="str">
            <v>2023–2024</v>
          </cell>
        </row>
        <row r="61">
          <cell r="G61">
            <v>21034.566080290027</v>
          </cell>
          <cell r="J61" t="str">
            <v>2024–2025</v>
          </cell>
        </row>
        <row r="62">
          <cell r="G62">
            <v>21034.566080290027</v>
          </cell>
          <cell r="J62" t="str">
            <v>2024–2025</v>
          </cell>
        </row>
        <row r="63">
          <cell r="G63">
            <v>21034.566080290027</v>
          </cell>
          <cell r="J63" t="str">
            <v>2024–2025</v>
          </cell>
        </row>
        <row r="64">
          <cell r="G64">
            <v>21034.566080290027</v>
          </cell>
          <cell r="J64" t="str">
            <v>2024–2025</v>
          </cell>
        </row>
        <row r="65">
          <cell r="G65">
            <v>21034.566080290027</v>
          </cell>
          <cell r="J65" t="str">
            <v>2024–2025</v>
          </cell>
        </row>
        <row r="66">
          <cell r="G66">
            <v>21034.566080290027</v>
          </cell>
          <cell r="J66" t="str">
            <v>2024–2025</v>
          </cell>
        </row>
        <row r="67">
          <cell r="G67">
            <v>21034.566080290027</v>
          </cell>
          <cell r="J67" t="str">
            <v>2024–2025</v>
          </cell>
        </row>
        <row r="68">
          <cell r="G68">
            <v>21034.566080290027</v>
          </cell>
          <cell r="J68" t="str">
            <v>2024–2025</v>
          </cell>
        </row>
        <row r="69">
          <cell r="G69">
            <v>21034.566080290027</v>
          </cell>
          <cell r="J69" t="str">
            <v>2024–2025</v>
          </cell>
        </row>
        <row r="70">
          <cell r="G70">
            <v>21034.566080290027</v>
          </cell>
          <cell r="J70" t="str">
            <v>2024–2025</v>
          </cell>
        </row>
        <row r="71">
          <cell r="G71">
            <v>21034.566080290027</v>
          </cell>
          <cell r="J71" t="str">
            <v>2024–2025</v>
          </cell>
        </row>
        <row r="72">
          <cell r="G72">
            <v>21034.566080290027</v>
          </cell>
          <cell r="J72" t="str">
            <v>2024–2025</v>
          </cell>
        </row>
        <row r="73">
          <cell r="G73">
            <v>21034.566080290027</v>
          </cell>
          <cell r="J73" t="str">
            <v>2025–2026</v>
          </cell>
        </row>
        <row r="74">
          <cell r="G74">
            <v>21034.566080290027</v>
          </cell>
          <cell r="J74" t="str">
            <v>2025–2026</v>
          </cell>
        </row>
        <row r="75">
          <cell r="G75">
            <v>21034.566080290027</v>
          </cell>
          <cell r="J75" t="str">
            <v>2025–2026</v>
          </cell>
        </row>
        <row r="76">
          <cell r="G76">
            <v>21034.566080290027</v>
          </cell>
          <cell r="J76" t="str">
            <v>2025–2026</v>
          </cell>
        </row>
        <row r="77">
          <cell r="G77">
            <v>21034.566080290027</v>
          </cell>
          <cell r="J77" t="str">
            <v>2025–2026</v>
          </cell>
        </row>
        <row r="78">
          <cell r="G78">
            <v>21034.566080290027</v>
          </cell>
          <cell r="J78" t="str">
            <v>2025–2026</v>
          </cell>
        </row>
        <row r="79">
          <cell r="G79">
            <v>21034.566080290027</v>
          </cell>
          <cell r="J79" t="str">
            <v>2025–2026</v>
          </cell>
        </row>
        <row r="80">
          <cell r="G80">
            <v>21034.566080290027</v>
          </cell>
          <cell r="J80" t="str">
            <v>2025–2026</v>
          </cell>
        </row>
        <row r="81">
          <cell r="G81">
            <v>21034.566080290027</v>
          </cell>
          <cell r="J81" t="str">
            <v>2025–2026</v>
          </cell>
        </row>
        <row r="82">
          <cell r="G82">
            <v>21034.566080290027</v>
          </cell>
          <cell r="J82" t="str">
            <v>2025–2026</v>
          </cell>
        </row>
        <row r="83">
          <cell r="G83">
            <v>21034.566080290027</v>
          </cell>
          <cell r="J83" t="str">
            <v>2025–2026</v>
          </cell>
        </row>
        <row r="84">
          <cell r="G84">
            <v>21034.566080290027</v>
          </cell>
          <cell r="J84" t="str">
            <v>2025–2026</v>
          </cell>
        </row>
        <row r="85">
          <cell r="G85">
            <v>21034.566080290027</v>
          </cell>
          <cell r="J85" t="str">
            <v>2026–2027</v>
          </cell>
        </row>
        <row r="86">
          <cell r="G86">
            <v>21034.566080290027</v>
          </cell>
          <cell r="J86" t="str">
            <v>2026–2027</v>
          </cell>
        </row>
        <row r="87">
          <cell r="G87">
            <v>21034.566080290027</v>
          </cell>
          <cell r="J87" t="str">
            <v>2026–2027</v>
          </cell>
        </row>
        <row r="88">
          <cell r="G88">
            <v>21034.566080290027</v>
          </cell>
          <cell r="J88" t="str">
            <v>2026–2027</v>
          </cell>
        </row>
        <row r="89">
          <cell r="G89">
            <v>21034.566080290027</v>
          </cell>
          <cell r="J89" t="str">
            <v>2026–2027</v>
          </cell>
        </row>
        <row r="90">
          <cell r="G90">
            <v>21034.566080290027</v>
          </cell>
          <cell r="J90" t="str">
            <v>2026–2027</v>
          </cell>
        </row>
        <row r="91">
          <cell r="G91">
            <v>21034.566080290027</v>
          </cell>
          <cell r="J91" t="str">
            <v>2026–2027</v>
          </cell>
        </row>
        <row r="92">
          <cell r="G92">
            <v>21034.566080290027</v>
          </cell>
          <cell r="J92" t="str">
            <v>2026–2027</v>
          </cell>
        </row>
        <row r="93">
          <cell r="G93">
            <v>21034.566080290027</v>
          </cell>
          <cell r="J93" t="str">
            <v>2026–2027</v>
          </cell>
        </row>
        <row r="94">
          <cell r="G94">
            <v>21034.566080290027</v>
          </cell>
          <cell r="J94" t="str">
            <v>2026–2027</v>
          </cell>
        </row>
        <row r="95">
          <cell r="G95">
            <v>21034.566080290027</v>
          </cell>
          <cell r="J95" t="str">
            <v>2026–2027</v>
          </cell>
        </row>
        <row r="96">
          <cell r="G96">
            <v>21034.566080290027</v>
          </cell>
          <cell r="J96" t="str">
            <v>2026–2027</v>
          </cell>
        </row>
        <row r="97">
          <cell r="G97">
            <v>21034.566080290027</v>
          </cell>
          <cell r="J97" t="str">
            <v>2027–2028</v>
          </cell>
        </row>
        <row r="98">
          <cell r="G98">
            <v>0</v>
          </cell>
          <cell r="J98" t="str">
            <v>2027–2028</v>
          </cell>
        </row>
        <row r="99">
          <cell r="G99">
            <v>0</v>
          </cell>
          <cell r="J99" t="str">
            <v>2027–2028</v>
          </cell>
        </row>
        <row r="100">
          <cell r="G100">
            <v>0</v>
          </cell>
          <cell r="J100" t="str">
            <v>2027–2028</v>
          </cell>
        </row>
        <row r="101">
          <cell r="G101">
            <v>0</v>
          </cell>
          <cell r="J101" t="str">
            <v>2027–2028</v>
          </cell>
        </row>
        <row r="102">
          <cell r="G102">
            <v>0</v>
          </cell>
          <cell r="J102" t="str">
            <v>2027–2028</v>
          </cell>
        </row>
        <row r="103">
          <cell r="G103">
            <v>0</v>
          </cell>
          <cell r="J103" t="str">
            <v>2027–2028</v>
          </cell>
        </row>
        <row r="104">
          <cell r="G104">
            <v>0</v>
          </cell>
          <cell r="J104" t="str">
            <v>2027–2028</v>
          </cell>
        </row>
        <row r="105">
          <cell r="G105">
            <v>0</v>
          </cell>
          <cell r="J105" t="str">
            <v>2027–2028</v>
          </cell>
        </row>
        <row r="106">
          <cell r="G106">
            <v>0</v>
          </cell>
          <cell r="J106" t="str">
            <v>2027–2028</v>
          </cell>
        </row>
        <row r="107">
          <cell r="G107">
            <v>0</v>
          </cell>
          <cell r="J107" t="str">
            <v>2027–2028</v>
          </cell>
        </row>
        <row r="108">
          <cell r="G108">
            <v>0</v>
          </cell>
          <cell r="J108" t="str">
            <v>2027–2028</v>
          </cell>
        </row>
        <row r="109">
          <cell r="G109">
            <v>0</v>
          </cell>
          <cell r="J109" t="str">
            <v>2028–2029</v>
          </cell>
        </row>
        <row r="110">
          <cell r="G110">
            <v>0</v>
          </cell>
          <cell r="J110" t="str">
            <v>2028–2029</v>
          </cell>
        </row>
        <row r="111">
          <cell r="G111">
            <v>0</v>
          </cell>
          <cell r="J111" t="str">
            <v>2028–2029</v>
          </cell>
        </row>
        <row r="112">
          <cell r="G112">
            <v>0</v>
          </cell>
          <cell r="J112" t="str">
            <v>2028–2029</v>
          </cell>
        </row>
        <row r="113">
          <cell r="G113">
            <v>0</v>
          </cell>
          <cell r="J113" t="str">
            <v>2028–2029</v>
          </cell>
        </row>
        <row r="114">
          <cell r="G114">
            <v>0</v>
          </cell>
          <cell r="J114" t="str">
            <v>2028–2029</v>
          </cell>
        </row>
        <row r="115">
          <cell r="G115">
            <v>0</v>
          </cell>
          <cell r="J115" t="str">
            <v>2028–2029</v>
          </cell>
        </row>
        <row r="116">
          <cell r="G116">
            <v>0</v>
          </cell>
          <cell r="J116" t="str">
            <v>2028–2029</v>
          </cell>
        </row>
        <row r="117">
          <cell r="G117">
            <v>0</v>
          </cell>
          <cell r="J117" t="str">
            <v>2028–2029</v>
          </cell>
        </row>
        <row r="118">
          <cell r="G118">
            <v>0</v>
          </cell>
          <cell r="J118" t="str">
            <v>2028–2029</v>
          </cell>
        </row>
        <row r="119">
          <cell r="G119">
            <v>0</v>
          </cell>
          <cell r="J119" t="str">
            <v>2028–2029</v>
          </cell>
        </row>
        <row r="120">
          <cell r="G120">
            <v>0</v>
          </cell>
          <cell r="J120" t="str">
            <v>2028–2029</v>
          </cell>
        </row>
        <row r="121">
          <cell r="G121">
            <v>0</v>
          </cell>
          <cell r="J121" t="str">
            <v>2029–2030</v>
          </cell>
        </row>
        <row r="122">
          <cell r="G122">
            <v>0</v>
          </cell>
          <cell r="J122" t="str">
            <v>2029–2030</v>
          </cell>
        </row>
        <row r="123">
          <cell r="G123">
            <v>0</v>
          </cell>
          <cell r="J123" t="str">
            <v>2029–2030</v>
          </cell>
        </row>
        <row r="124">
          <cell r="G124">
            <v>0</v>
          </cell>
          <cell r="J124" t="str">
            <v>2029–2030</v>
          </cell>
        </row>
        <row r="125">
          <cell r="G125">
            <v>0</v>
          </cell>
          <cell r="J125" t="str">
            <v>2029–2030</v>
          </cell>
        </row>
        <row r="126">
          <cell r="G126">
            <v>0</v>
          </cell>
          <cell r="J126" t="str">
            <v>2029–2030</v>
          </cell>
        </row>
        <row r="127">
          <cell r="G127">
            <v>0</v>
          </cell>
          <cell r="J127" t="str">
            <v>2029–2030</v>
          </cell>
        </row>
        <row r="128">
          <cell r="G128">
            <v>0</v>
          </cell>
          <cell r="J128" t="str">
            <v>2029–2030</v>
          </cell>
        </row>
        <row r="129">
          <cell r="G129">
            <v>0</v>
          </cell>
          <cell r="J129" t="str">
            <v>2029–2030</v>
          </cell>
        </row>
        <row r="130">
          <cell r="G130">
            <v>0</v>
          </cell>
          <cell r="J130" t="str">
            <v>2029–2030</v>
          </cell>
        </row>
        <row r="131">
          <cell r="G131">
            <v>0</v>
          </cell>
          <cell r="J131" t="str">
            <v>2029–2030</v>
          </cell>
        </row>
        <row r="132">
          <cell r="G132">
            <v>0</v>
          </cell>
          <cell r="J132" t="str">
            <v>2029–2030</v>
          </cell>
        </row>
        <row r="133">
          <cell r="G133">
            <v>0</v>
          </cell>
          <cell r="J133" t="str">
            <v>2030–2031</v>
          </cell>
        </row>
        <row r="134">
          <cell r="G134">
            <v>0</v>
          </cell>
          <cell r="J134" t="str">
            <v>2030–2031</v>
          </cell>
        </row>
        <row r="135">
          <cell r="G135">
            <v>0</v>
          </cell>
          <cell r="J135" t="str">
            <v>2030–2031</v>
          </cell>
        </row>
        <row r="136">
          <cell r="G136">
            <v>0</v>
          </cell>
          <cell r="J136" t="str">
            <v>2030–2031</v>
          </cell>
        </row>
        <row r="137">
          <cell r="G137">
            <v>0</v>
          </cell>
          <cell r="J137" t="str">
            <v>2030–2031</v>
          </cell>
        </row>
        <row r="138">
          <cell r="G138">
            <v>0</v>
          </cell>
          <cell r="J138" t="str">
            <v>2030–2031</v>
          </cell>
        </row>
        <row r="139">
          <cell r="G139">
            <v>0</v>
          </cell>
          <cell r="J139" t="str">
            <v>2030–2031</v>
          </cell>
        </row>
        <row r="140">
          <cell r="G140">
            <v>0</v>
          </cell>
          <cell r="J140" t="str">
            <v>2030–2031</v>
          </cell>
        </row>
        <row r="141">
          <cell r="G141">
            <v>0</v>
          </cell>
          <cell r="J141" t="str">
            <v>2030–2031</v>
          </cell>
        </row>
        <row r="142">
          <cell r="G142">
            <v>0</v>
          </cell>
          <cell r="J142" t="str">
            <v>2030–2031</v>
          </cell>
        </row>
        <row r="143">
          <cell r="G143">
            <v>0</v>
          </cell>
          <cell r="J143" t="str">
            <v>2030–2031</v>
          </cell>
        </row>
        <row r="144">
          <cell r="G144">
            <v>0</v>
          </cell>
          <cell r="J144" t="str">
            <v>2030–2031</v>
          </cell>
        </row>
        <row r="145">
          <cell r="G145">
            <v>0</v>
          </cell>
          <cell r="J145" t="str">
            <v>2031–2032</v>
          </cell>
        </row>
        <row r="146">
          <cell r="G146">
            <v>0</v>
          </cell>
          <cell r="J146" t="str">
            <v>2031–2032</v>
          </cell>
        </row>
        <row r="147">
          <cell r="G147">
            <v>0</v>
          </cell>
          <cell r="J147" t="str">
            <v>2031–2032</v>
          </cell>
        </row>
        <row r="148">
          <cell r="G148">
            <v>0</v>
          </cell>
          <cell r="J148" t="str">
            <v>2031–2032</v>
          </cell>
        </row>
        <row r="149">
          <cell r="G149">
            <v>0</v>
          </cell>
          <cell r="J149" t="str">
            <v>2031–2032</v>
          </cell>
        </row>
        <row r="150">
          <cell r="G150">
            <v>0</v>
          </cell>
          <cell r="J150" t="str">
            <v>2031–2032</v>
          </cell>
        </row>
        <row r="151">
          <cell r="G151">
            <v>0</v>
          </cell>
          <cell r="J151" t="str">
            <v>2031–2032</v>
          </cell>
        </row>
        <row r="152">
          <cell r="G152">
            <v>0</v>
          </cell>
          <cell r="J152" t="str">
            <v>2031–2032</v>
          </cell>
        </row>
        <row r="153">
          <cell r="G153">
            <v>0</v>
          </cell>
          <cell r="J153" t="str">
            <v>2031–2032</v>
          </cell>
        </row>
        <row r="154">
          <cell r="G154">
            <v>0</v>
          </cell>
          <cell r="J154" t="str">
            <v>2031–2032</v>
          </cell>
        </row>
        <row r="155">
          <cell r="G155">
            <v>0</v>
          </cell>
          <cell r="J155" t="str">
            <v>2031–2032</v>
          </cell>
        </row>
        <row r="156">
          <cell r="G156">
            <v>0</v>
          </cell>
          <cell r="J156" t="str">
            <v>2031–2032</v>
          </cell>
        </row>
        <row r="157">
          <cell r="G157">
            <v>0</v>
          </cell>
          <cell r="J157" t="str">
            <v>2032–2033</v>
          </cell>
        </row>
        <row r="158">
          <cell r="G158">
            <v>0</v>
          </cell>
          <cell r="J158" t="str">
            <v>2032–2033</v>
          </cell>
        </row>
        <row r="159">
          <cell r="G159">
            <v>0</v>
          </cell>
          <cell r="J159" t="str">
            <v>2032–2033</v>
          </cell>
        </row>
        <row r="160">
          <cell r="G160">
            <v>0</v>
          </cell>
          <cell r="J160" t="str">
            <v>2032–2033</v>
          </cell>
        </row>
        <row r="161">
          <cell r="G161">
            <v>0</v>
          </cell>
          <cell r="J161" t="str">
            <v>2032–2033</v>
          </cell>
        </row>
        <row r="162">
          <cell r="G162">
            <v>0</v>
          </cell>
          <cell r="J162" t="str">
            <v>2032–2033</v>
          </cell>
        </row>
        <row r="163">
          <cell r="G163">
            <v>0</v>
          </cell>
          <cell r="J163" t="str">
            <v>2032–2033</v>
          </cell>
        </row>
        <row r="164">
          <cell r="G164">
            <v>0</v>
          </cell>
          <cell r="J164" t="str">
            <v>2032–2033</v>
          </cell>
        </row>
        <row r="165">
          <cell r="G165">
            <v>0</v>
          </cell>
          <cell r="J165" t="str">
            <v>2032–2033</v>
          </cell>
        </row>
        <row r="166">
          <cell r="G166">
            <v>0</v>
          </cell>
          <cell r="J166" t="str">
            <v>2032–2033</v>
          </cell>
        </row>
        <row r="167">
          <cell r="G167">
            <v>0</v>
          </cell>
          <cell r="J167" t="str">
            <v>2032–2033</v>
          </cell>
        </row>
        <row r="168">
          <cell r="G168">
            <v>0</v>
          </cell>
          <cell r="J168" t="str">
            <v>2032–2033</v>
          </cell>
        </row>
        <row r="169">
          <cell r="G169">
            <v>0</v>
          </cell>
          <cell r="J169" t="str">
            <v>2033–2034</v>
          </cell>
        </row>
        <row r="170">
          <cell r="G170">
            <v>0</v>
          </cell>
          <cell r="J170" t="str">
            <v>2033–2034</v>
          </cell>
        </row>
        <row r="171">
          <cell r="G171">
            <v>0</v>
          </cell>
          <cell r="J171" t="str">
            <v>2033–2034</v>
          </cell>
        </row>
        <row r="172">
          <cell r="G172">
            <v>0</v>
          </cell>
          <cell r="J172" t="str">
            <v>2033–2034</v>
          </cell>
        </row>
        <row r="173">
          <cell r="G173">
            <v>0</v>
          </cell>
          <cell r="J173" t="str">
            <v>2033–2034</v>
          </cell>
        </row>
        <row r="174">
          <cell r="G174">
            <v>0</v>
          </cell>
          <cell r="J174" t="str">
            <v>2033–2034</v>
          </cell>
        </row>
        <row r="175">
          <cell r="G175">
            <v>0</v>
          </cell>
          <cell r="J175" t="str">
            <v>2033–2034</v>
          </cell>
        </row>
        <row r="176">
          <cell r="G176">
            <v>0</v>
          </cell>
          <cell r="J176" t="str">
            <v>2033–2034</v>
          </cell>
        </row>
        <row r="177">
          <cell r="G177">
            <v>0</v>
          </cell>
          <cell r="J177" t="str">
            <v>2033–2034</v>
          </cell>
        </row>
        <row r="178">
          <cell r="G178">
            <v>0</v>
          </cell>
          <cell r="J178" t="str">
            <v>2033–2034</v>
          </cell>
        </row>
        <row r="179">
          <cell r="G179">
            <v>0</v>
          </cell>
          <cell r="J179" t="str">
            <v>2033–2034</v>
          </cell>
        </row>
        <row r="180">
          <cell r="G180">
            <v>0</v>
          </cell>
          <cell r="J180" t="str">
            <v>2033–2034</v>
          </cell>
        </row>
        <row r="181">
          <cell r="G181">
            <v>0</v>
          </cell>
          <cell r="J181" t="str">
            <v>2034–2035</v>
          </cell>
        </row>
        <row r="182">
          <cell r="G182">
            <v>0</v>
          </cell>
          <cell r="J182" t="str">
            <v>2034–2035</v>
          </cell>
        </row>
        <row r="183">
          <cell r="G183">
            <v>0</v>
          </cell>
          <cell r="J183" t="str">
            <v>2034–2035</v>
          </cell>
        </row>
        <row r="184">
          <cell r="G184">
            <v>0</v>
          </cell>
          <cell r="J184" t="str">
            <v>2034–2035</v>
          </cell>
        </row>
        <row r="185">
          <cell r="G185">
            <v>0</v>
          </cell>
          <cell r="J185" t="str">
            <v>2034–2035</v>
          </cell>
        </row>
        <row r="186">
          <cell r="G186">
            <v>0</v>
          </cell>
          <cell r="J186" t="str">
            <v>2034–2035</v>
          </cell>
        </row>
        <row r="187">
          <cell r="G187">
            <v>0</v>
          </cell>
          <cell r="J187" t="str">
            <v>2034–2035</v>
          </cell>
        </row>
        <row r="188">
          <cell r="G188">
            <v>0</v>
          </cell>
          <cell r="J188" t="str">
            <v>2034–2035</v>
          </cell>
        </row>
        <row r="189">
          <cell r="G189">
            <v>0</v>
          </cell>
          <cell r="J189" t="str">
            <v>2034–2035</v>
          </cell>
        </row>
        <row r="190">
          <cell r="G190">
            <v>0</v>
          </cell>
          <cell r="J190" t="str">
            <v>2034–2035</v>
          </cell>
        </row>
        <row r="191">
          <cell r="G191">
            <v>0</v>
          </cell>
          <cell r="J191" t="str">
            <v>2034–2035</v>
          </cell>
        </row>
        <row r="192">
          <cell r="G192">
            <v>0</v>
          </cell>
          <cell r="J192" t="str">
            <v>2034–2035</v>
          </cell>
        </row>
        <row r="193">
          <cell r="G193">
            <v>0</v>
          </cell>
          <cell r="J193" t="str">
            <v>2035–2036</v>
          </cell>
        </row>
        <row r="194">
          <cell r="G194">
            <v>0</v>
          </cell>
          <cell r="J194" t="str">
            <v>2035–2036</v>
          </cell>
        </row>
        <row r="195">
          <cell r="G195">
            <v>0</v>
          </cell>
          <cell r="J195" t="str">
            <v>2035–2036</v>
          </cell>
        </row>
        <row r="196">
          <cell r="G196">
            <v>0</v>
          </cell>
          <cell r="J196" t="str">
            <v>2035–2036</v>
          </cell>
        </row>
        <row r="197">
          <cell r="G197">
            <v>0</v>
          </cell>
          <cell r="J197" t="str">
            <v>2035–2036</v>
          </cell>
        </row>
        <row r="198">
          <cell r="G198">
            <v>0</v>
          </cell>
          <cell r="J198" t="str">
            <v>2035–2036</v>
          </cell>
        </row>
        <row r="199">
          <cell r="G199">
            <v>0</v>
          </cell>
          <cell r="J199" t="str">
            <v>2035–2036</v>
          </cell>
        </row>
        <row r="200">
          <cell r="G200">
            <v>0</v>
          </cell>
          <cell r="J200" t="str">
            <v>2035–2036</v>
          </cell>
        </row>
        <row r="201">
          <cell r="G201">
            <v>0</v>
          </cell>
          <cell r="J201" t="str">
            <v>2035–2036</v>
          </cell>
        </row>
        <row r="202">
          <cell r="G202">
            <v>0</v>
          </cell>
          <cell r="J202" t="str">
            <v>2035–2036</v>
          </cell>
        </row>
        <row r="203">
          <cell r="G203">
            <v>0</v>
          </cell>
          <cell r="J203" t="str">
            <v>2035–2036</v>
          </cell>
        </row>
        <row r="204">
          <cell r="G204">
            <v>0</v>
          </cell>
          <cell r="J204" t="str">
            <v>2035–2036</v>
          </cell>
        </row>
        <row r="205">
          <cell r="G205">
            <v>0</v>
          </cell>
          <cell r="J205" t="str">
            <v>2036–2037</v>
          </cell>
        </row>
        <row r="206">
          <cell r="G206">
            <v>0</v>
          </cell>
          <cell r="J206" t="str">
            <v>2036–2037</v>
          </cell>
        </row>
        <row r="207">
          <cell r="G207">
            <v>0</v>
          </cell>
          <cell r="J207" t="str">
            <v>2036–2037</v>
          </cell>
        </row>
        <row r="208">
          <cell r="G208">
            <v>0</v>
          </cell>
          <cell r="J208" t="str">
            <v>2036–2037</v>
          </cell>
        </row>
        <row r="209">
          <cell r="G209">
            <v>0</v>
          </cell>
          <cell r="J209" t="str">
            <v>2036–2037</v>
          </cell>
        </row>
        <row r="210">
          <cell r="G210">
            <v>0</v>
          </cell>
          <cell r="J210" t="str">
            <v>2036–2037</v>
          </cell>
        </row>
        <row r="211">
          <cell r="G211">
            <v>0</v>
          </cell>
          <cell r="J211" t="str">
            <v>2036–2037</v>
          </cell>
        </row>
        <row r="212">
          <cell r="G212">
            <v>0</v>
          </cell>
          <cell r="J212" t="str">
            <v>2036–2037</v>
          </cell>
        </row>
        <row r="213">
          <cell r="G213">
            <v>0</v>
          </cell>
          <cell r="J213" t="str">
            <v>2036–2037</v>
          </cell>
        </row>
        <row r="214">
          <cell r="G214">
            <v>0</v>
          </cell>
          <cell r="J214" t="str">
            <v>2036–2037</v>
          </cell>
        </row>
        <row r="215">
          <cell r="G215">
            <v>0</v>
          </cell>
          <cell r="J215" t="str">
            <v>2036–2037</v>
          </cell>
        </row>
        <row r="216">
          <cell r="G216">
            <v>0</v>
          </cell>
          <cell r="J216" t="str">
            <v>2036–2037</v>
          </cell>
        </row>
        <row r="217">
          <cell r="G217">
            <v>0</v>
          </cell>
          <cell r="J217" t="str">
            <v>2037–2038</v>
          </cell>
        </row>
        <row r="218">
          <cell r="G218">
            <v>0</v>
          </cell>
          <cell r="J218" t="str">
            <v>2037–2038</v>
          </cell>
        </row>
        <row r="219">
          <cell r="G219">
            <v>0</v>
          </cell>
          <cell r="J219" t="str">
            <v>2037–2038</v>
          </cell>
        </row>
        <row r="220">
          <cell r="G220">
            <v>0</v>
          </cell>
          <cell r="J220" t="str">
            <v>2037–2038</v>
          </cell>
        </row>
        <row r="221">
          <cell r="G221">
            <v>0</v>
          </cell>
          <cell r="J221" t="str">
            <v>2037–2038</v>
          </cell>
        </row>
        <row r="222">
          <cell r="G222">
            <v>0</v>
          </cell>
          <cell r="J222" t="str">
            <v>2037–2038</v>
          </cell>
        </row>
        <row r="223">
          <cell r="G223">
            <v>0</v>
          </cell>
          <cell r="J223" t="str">
            <v>2037–2038</v>
          </cell>
        </row>
        <row r="224">
          <cell r="G224">
            <v>0</v>
          </cell>
          <cell r="J224" t="str">
            <v>2037–2038</v>
          </cell>
        </row>
        <row r="225">
          <cell r="G225">
            <v>0</v>
          </cell>
          <cell r="J225" t="str">
            <v>2037–2038</v>
          </cell>
        </row>
        <row r="226">
          <cell r="G226">
            <v>0</v>
          </cell>
          <cell r="J226" t="str">
            <v>2037–2038</v>
          </cell>
        </row>
        <row r="227">
          <cell r="G227">
            <v>0</v>
          </cell>
          <cell r="J227" t="str">
            <v>2037–2038</v>
          </cell>
        </row>
        <row r="228">
          <cell r="G228">
            <v>0</v>
          </cell>
          <cell r="J228" t="str">
            <v>2037–2038</v>
          </cell>
        </row>
        <row r="229">
          <cell r="G229">
            <v>0</v>
          </cell>
          <cell r="J229" t="str">
            <v>2038–2039</v>
          </cell>
        </row>
        <row r="230">
          <cell r="G230">
            <v>0</v>
          </cell>
          <cell r="J230" t="str">
            <v>2038–2039</v>
          </cell>
        </row>
        <row r="231">
          <cell r="G231">
            <v>0</v>
          </cell>
          <cell r="J231" t="str">
            <v>2038–2039</v>
          </cell>
        </row>
        <row r="232">
          <cell r="G232">
            <v>0</v>
          </cell>
          <cell r="J232" t="str">
            <v>2038–2039</v>
          </cell>
        </row>
        <row r="233">
          <cell r="G233">
            <v>0</v>
          </cell>
          <cell r="J233" t="str">
            <v>2038–2039</v>
          </cell>
        </row>
        <row r="234">
          <cell r="G234">
            <v>0</v>
          </cell>
          <cell r="J234" t="str">
            <v>2038–2039</v>
          </cell>
        </row>
        <row r="235">
          <cell r="G235">
            <v>0</v>
          </cell>
          <cell r="J235" t="str">
            <v>2038–2039</v>
          </cell>
        </row>
        <row r="236">
          <cell r="G236">
            <v>0</v>
          </cell>
          <cell r="J236" t="str">
            <v>2038–2039</v>
          </cell>
        </row>
        <row r="237">
          <cell r="G237">
            <v>0</v>
          </cell>
          <cell r="J237" t="str">
            <v>2038–2039</v>
          </cell>
        </row>
        <row r="238">
          <cell r="G238">
            <v>0</v>
          </cell>
          <cell r="J238" t="str">
            <v>2038–2039</v>
          </cell>
        </row>
        <row r="239">
          <cell r="G239">
            <v>0</v>
          </cell>
          <cell r="J239" t="str">
            <v>2038–2039</v>
          </cell>
        </row>
        <row r="240">
          <cell r="G240">
            <v>0</v>
          </cell>
          <cell r="J240" t="str">
            <v>2038–2039</v>
          </cell>
        </row>
        <row r="241">
          <cell r="G241">
            <v>0</v>
          </cell>
          <cell r="J241" t="str">
            <v>2039–2040</v>
          </cell>
        </row>
        <row r="242">
          <cell r="G242">
            <v>0</v>
          </cell>
          <cell r="J242" t="str">
            <v>2039–2040</v>
          </cell>
        </row>
        <row r="243">
          <cell r="G243">
            <v>0</v>
          </cell>
          <cell r="J243" t="str">
            <v>2039–2040</v>
          </cell>
        </row>
        <row r="244">
          <cell r="G244">
            <v>0</v>
          </cell>
          <cell r="J244" t="str">
            <v>2039–2040</v>
          </cell>
        </row>
        <row r="245">
          <cell r="G245">
            <v>0</v>
          </cell>
          <cell r="J245" t="str">
            <v>2039–2040</v>
          </cell>
        </row>
        <row r="246">
          <cell r="G246">
            <v>0</v>
          </cell>
          <cell r="J246" t="str">
            <v>2039–2040</v>
          </cell>
        </row>
        <row r="247">
          <cell r="G247">
            <v>0</v>
          </cell>
          <cell r="J247" t="str">
            <v>2039–2040</v>
          </cell>
        </row>
        <row r="248">
          <cell r="G248">
            <v>0</v>
          </cell>
          <cell r="J248" t="str">
            <v>2039–2040</v>
          </cell>
        </row>
        <row r="249">
          <cell r="G249">
            <v>0</v>
          </cell>
          <cell r="J249" t="str">
            <v>2039–2040</v>
          </cell>
        </row>
        <row r="250">
          <cell r="G250">
            <v>0</v>
          </cell>
          <cell r="J250" t="str">
            <v>2039–2040</v>
          </cell>
        </row>
        <row r="251">
          <cell r="G251">
            <v>0</v>
          </cell>
          <cell r="J251" t="str">
            <v>2039–2040</v>
          </cell>
        </row>
        <row r="252">
          <cell r="G252">
            <v>0</v>
          </cell>
          <cell r="J252" t="str">
            <v>2039–2040</v>
          </cell>
        </row>
        <row r="253">
          <cell r="G253">
            <v>0</v>
          </cell>
          <cell r="J253" t="str">
            <v>2040–2041</v>
          </cell>
        </row>
        <row r="254">
          <cell r="G254">
            <v>0</v>
          </cell>
          <cell r="J254" t="str">
            <v>2040–2041</v>
          </cell>
        </row>
        <row r="255">
          <cell r="G255">
            <v>0</v>
          </cell>
          <cell r="J255" t="str">
            <v>2040–2041</v>
          </cell>
        </row>
        <row r="256">
          <cell r="G256">
            <v>0</v>
          </cell>
          <cell r="J256" t="str">
            <v>2040–2041</v>
          </cell>
        </row>
        <row r="257">
          <cell r="G257">
            <v>0</v>
          </cell>
          <cell r="J257" t="str">
            <v>2040–2041</v>
          </cell>
        </row>
        <row r="258">
          <cell r="G258">
            <v>0</v>
          </cell>
          <cell r="J258" t="str">
            <v>2040–2041</v>
          </cell>
        </row>
        <row r="259">
          <cell r="G259">
            <v>0</v>
          </cell>
          <cell r="J259" t="str">
            <v>2040–2041</v>
          </cell>
        </row>
        <row r="260">
          <cell r="G260">
            <v>0</v>
          </cell>
          <cell r="J260" t="str">
            <v>2040–2041</v>
          </cell>
        </row>
        <row r="261">
          <cell r="G261">
            <v>0</v>
          </cell>
          <cell r="J261" t="str">
            <v>2040–2041</v>
          </cell>
        </row>
        <row r="262">
          <cell r="G262">
            <v>0</v>
          </cell>
          <cell r="J262" t="str">
            <v>2040–2041</v>
          </cell>
        </row>
        <row r="263">
          <cell r="G263">
            <v>0</v>
          </cell>
          <cell r="J263" t="str">
            <v>2040–2041</v>
          </cell>
        </row>
        <row r="264">
          <cell r="G264">
            <v>0</v>
          </cell>
          <cell r="J264" t="str">
            <v>2040–2041</v>
          </cell>
        </row>
        <row r="265">
          <cell r="G265">
            <v>0</v>
          </cell>
          <cell r="J265" t="str">
            <v>2041–2042</v>
          </cell>
        </row>
        <row r="266">
          <cell r="G266">
            <v>0</v>
          </cell>
          <cell r="J266" t="str">
            <v>2041–2042</v>
          </cell>
        </row>
        <row r="267">
          <cell r="G267">
            <v>0</v>
          </cell>
          <cell r="J267" t="str">
            <v>2041–2042</v>
          </cell>
        </row>
        <row r="268">
          <cell r="G268">
            <v>0</v>
          </cell>
          <cell r="J268" t="str">
            <v>2041–2042</v>
          </cell>
        </row>
        <row r="269">
          <cell r="G269">
            <v>0</v>
          </cell>
          <cell r="J269" t="str">
            <v>2041–2042</v>
          </cell>
        </row>
        <row r="270">
          <cell r="G270">
            <v>0</v>
          </cell>
          <cell r="J270" t="str">
            <v>2041–2042</v>
          </cell>
        </row>
        <row r="271">
          <cell r="G271">
            <v>0</v>
          </cell>
          <cell r="J271" t="str">
            <v>2041–2042</v>
          </cell>
        </row>
        <row r="272">
          <cell r="G272">
            <v>0</v>
          </cell>
          <cell r="J272" t="str">
            <v>2041–2042</v>
          </cell>
        </row>
        <row r="273">
          <cell r="G273">
            <v>0</v>
          </cell>
          <cell r="J273" t="str">
            <v>2041–2042</v>
          </cell>
        </row>
        <row r="274">
          <cell r="G274">
            <v>0</v>
          </cell>
          <cell r="J274" t="str">
            <v>2041–2042</v>
          </cell>
        </row>
        <row r="275">
          <cell r="G275">
            <v>0</v>
          </cell>
          <cell r="J275" t="str">
            <v>2041–2042</v>
          </cell>
        </row>
        <row r="276">
          <cell r="G276">
            <v>0</v>
          </cell>
          <cell r="J276" t="str">
            <v>2041–2042</v>
          </cell>
        </row>
        <row r="277">
          <cell r="G277">
            <v>0</v>
          </cell>
          <cell r="J277" t="str">
            <v>2042–2043</v>
          </cell>
        </row>
        <row r="278">
          <cell r="G278">
            <v>0</v>
          </cell>
          <cell r="J278" t="str">
            <v>2042–2043</v>
          </cell>
        </row>
        <row r="279">
          <cell r="G279">
            <v>0</v>
          </cell>
          <cell r="J279" t="str">
            <v>2042–2043</v>
          </cell>
        </row>
        <row r="280">
          <cell r="G280">
            <v>0</v>
          </cell>
          <cell r="J280" t="str">
            <v>2042–2043</v>
          </cell>
        </row>
        <row r="281">
          <cell r="G281">
            <v>0</v>
          </cell>
          <cell r="J281" t="str">
            <v>2042–2043</v>
          </cell>
        </row>
        <row r="282">
          <cell r="G282">
            <v>0</v>
          </cell>
          <cell r="J282" t="str">
            <v>2042–2043</v>
          </cell>
        </row>
        <row r="283">
          <cell r="G283">
            <v>0</v>
          </cell>
          <cell r="J283" t="str">
            <v>2042–2043</v>
          </cell>
        </row>
        <row r="284">
          <cell r="G284">
            <v>0</v>
          </cell>
          <cell r="J284" t="str">
            <v>2042–2043</v>
          </cell>
        </row>
        <row r="285">
          <cell r="G285">
            <v>0</v>
          </cell>
          <cell r="J285" t="str">
            <v>2042–2043</v>
          </cell>
        </row>
        <row r="286">
          <cell r="G286">
            <v>0</v>
          </cell>
          <cell r="J286" t="str">
            <v>2042–2043</v>
          </cell>
        </row>
        <row r="287">
          <cell r="G287">
            <v>0</v>
          </cell>
          <cell r="J287" t="str">
            <v>2042–2043</v>
          </cell>
        </row>
        <row r="288">
          <cell r="G288">
            <v>0</v>
          </cell>
          <cell r="J288" t="str">
            <v>2042–2043</v>
          </cell>
        </row>
        <row r="289">
          <cell r="G289">
            <v>0</v>
          </cell>
          <cell r="J289" t="str">
            <v>2043–2044</v>
          </cell>
        </row>
        <row r="290">
          <cell r="G290">
            <v>0</v>
          </cell>
          <cell r="J290" t="str">
            <v>2043–2044</v>
          </cell>
        </row>
        <row r="291">
          <cell r="G291">
            <v>0</v>
          </cell>
          <cell r="J291" t="str">
            <v>2043–2044</v>
          </cell>
        </row>
        <row r="292">
          <cell r="G292">
            <v>0</v>
          </cell>
          <cell r="J292" t="str">
            <v>2043–2044</v>
          </cell>
        </row>
        <row r="293">
          <cell r="G293">
            <v>0</v>
          </cell>
          <cell r="J293" t="str">
            <v>2043–2044</v>
          </cell>
        </row>
        <row r="294">
          <cell r="G294">
            <v>0</v>
          </cell>
          <cell r="J294" t="str">
            <v>2043–2044</v>
          </cell>
        </row>
        <row r="295">
          <cell r="G295">
            <v>0</v>
          </cell>
          <cell r="J295" t="str">
            <v>2043–2044</v>
          </cell>
        </row>
        <row r="296">
          <cell r="G296">
            <v>0</v>
          </cell>
          <cell r="J296" t="str">
            <v>2043–2044</v>
          </cell>
        </row>
        <row r="297">
          <cell r="G297">
            <v>0</v>
          </cell>
          <cell r="J297" t="str">
            <v>2043–2044</v>
          </cell>
        </row>
        <row r="298">
          <cell r="G298">
            <v>0</v>
          </cell>
          <cell r="J298" t="str">
            <v>2043–2044</v>
          </cell>
        </row>
        <row r="299">
          <cell r="G299">
            <v>0</v>
          </cell>
          <cell r="J299" t="str">
            <v>2043–2044</v>
          </cell>
        </row>
        <row r="300">
          <cell r="G300">
            <v>0</v>
          </cell>
          <cell r="J300" t="str">
            <v>2043–2044</v>
          </cell>
        </row>
        <row r="301">
          <cell r="G301">
            <v>0</v>
          </cell>
          <cell r="J301" t="str">
            <v>2044–2045</v>
          </cell>
        </row>
        <row r="302">
          <cell r="G302">
            <v>0</v>
          </cell>
          <cell r="J302" t="str">
            <v>2044–2045</v>
          </cell>
        </row>
        <row r="303">
          <cell r="G303">
            <v>0</v>
          </cell>
          <cell r="J303" t="str">
            <v>2044–2045</v>
          </cell>
        </row>
        <row r="304">
          <cell r="G304">
            <v>0</v>
          </cell>
          <cell r="J304" t="str">
            <v>2044–2045</v>
          </cell>
        </row>
        <row r="305">
          <cell r="G305">
            <v>0</v>
          </cell>
          <cell r="J305" t="str">
            <v>2044–2045</v>
          </cell>
        </row>
        <row r="306">
          <cell r="G306">
            <v>0</v>
          </cell>
          <cell r="J306" t="str">
            <v>2044–2045</v>
          </cell>
        </row>
        <row r="307">
          <cell r="G307">
            <v>0</v>
          </cell>
          <cell r="J307" t="str">
            <v>2044–2045</v>
          </cell>
        </row>
        <row r="308">
          <cell r="G308">
            <v>0</v>
          </cell>
          <cell r="J308" t="str">
            <v>2044–2045</v>
          </cell>
        </row>
        <row r="309">
          <cell r="G309">
            <v>0</v>
          </cell>
          <cell r="J309" t="str">
            <v>2044–2045</v>
          </cell>
        </row>
        <row r="310">
          <cell r="G310">
            <v>0</v>
          </cell>
          <cell r="J310" t="str">
            <v>2044–2045</v>
          </cell>
        </row>
        <row r="311">
          <cell r="G311">
            <v>0</v>
          </cell>
          <cell r="J311" t="str">
            <v>2044–2045</v>
          </cell>
        </row>
        <row r="312">
          <cell r="G312">
            <v>0</v>
          </cell>
          <cell r="J312" t="str">
            <v>2044–2045</v>
          </cell>
        </row>
        <row r="313">
          <cell r="G313">
            <v>0</v>
          </cell>
          <cell r="J313" t="str">
            <v>2045–2046</v>
          </cell>
        </row>
        <row r="314">
          <cell r="G314">
            <v>0</v>
          </cell>
          <cell r="J314" t="str">
            <v>2045–2046</v>
          </cell>
        </row>
        <row r="315">
          <cell r="G315">
            <v>0</v>
          </cell>
          <cell r="J315" t="str">
            <v>2045–2046</v>
          </cell>
        </row>
        <row r="316">
          <cell r="G316">
            <v>0</v>
          </cell>
          <cell r="J316" t="str">
            <v>2045–2046</v>
          </cell>
        </row>
        <row r="317">
          <cell r="G317">
            <v>0</v>
          </cell>
          <cell r="J317" t="str">
            <v>2045–2046</v>
          </cell>
        </row>
        <row r="318">
          <cell r="G318">
            <v>0</v>
          </cell>
          <cell r="J318" t="str">
            <v>2045–2046</v>
          </cell>
        </row>
        <row r="319">
          <cell r="G319">
            <v>0</v>
          </cell>
          <cell r="J319" t="str">
            <v>2045–2046</v>
          </cell>
        </row>
        <row r="320">
          <cell r="G320">
            <v>0</v>
          </cell>
          <cell r="J320" t="str">
            <v>2045–2046</v>
          </cell>
        </row>
        <row r="321">
          <cell r="G321">
            <v>0</v>
          </cell>
          <cell r="J321" t="str">
            <v>2045–2046</v>
          </cell>
        </row>
        <row r="322">
          <cell r="G322">
            <v>0</v>
          </cell>
          <cell r="J322" t="str">
            <v>2045–2046</v>
          </cell>
        </row>
        <row r="323">
          <cell r="G323">
            <v>0</v>
          </cell>
          <cell r="J323" t="str">
            <v>2045–2046</v>
          </cell>
        </row>
        <row r="324">
          <cell r="G324">
            <v>0</v>
          </cell>
          <cell r="J324" t="str">
            <v>2045–2046</v>
          </cell>
        </row>
        <row r="325">
          <cell r="G325">
            <v>0</v>
          </cell>
          <cell r="J325" t="str">
            <v>2046–2047</v>
          </cell>
        </row>
        <row r="326">
          <cell r="G326">
            <v>0</v>
          </cell>
          <cell r="J326" t="str">
            <v>2046–2047</v>
          </cell>
        </row>
        <row r="327">
          <cell r="G327">
            <v>0</v>
          </cell>
          <cell r="J327" t="str">
            <v>2046–2047</v>
          </cell>
        </row>
        <row r="328">
          <cell r="G328">
            <v>0</v>
          </cell>
          <cell r="J328" t="str">
            <v>2046–2047</v>
          </cell>
        </row>
        <row r="329">
          <cell r="G329">
            <v>0</v>
          </cell>
          <cell r="J329" t="str">
            <v>2046–2047</v>
          </cell>
        </row>
        <row r="330">
          <cell r="G330">
            <v>0</v>
          </cell>
          <cell r="J330" t="str">
            <v>2046–2047</v>
          </cell>
        </row>
        <row r="331">
          <cell r="G331">
            <v>0</v>
          </cell>
          <cell r="J331" t="str">
            <v>2046–2047</v>
          </cell>
        </row>
        <row r="332">
          <cell r="G332">
            <v>0</v>
          </cell>
          <cell r="J332" t="str">
            <v>2046–2047</v>
          </cell>
        </row>
        <row r="333">
          <cell r="G333">
            <v>0</v>
          </cell>
          <cell r="J333" t="str">
            <v>2046–2047</v>
          </cell>
        </row>
        <row r="334">
          <cell r="G334">
            <v>0</v>
          </cell>
          <cell r="J334" t="str">
            <v>2046–2047</v>
          </cell>
        </row>
        <row r="335">
          <cell r="G335">
            <v>0</v>
          </cell>
          <cell r="J335" t="str">
            <v>2046–2047</v>
          </cell>
        </row>
        <row r="336">
          <cell r="G336">
            <v>0</v>
          </cell>
          <cell r="J336" t="str">
            <v>2046–2047</v>
          </cell>
        </row>
        <row r="337">
          <cell r="G337">
            <v>0</v>
          </cell>
          <cell r="J337" t="str">
            <v>2047–2048</v>
          </cell>
        </row>
        <row r="338">
          <cell r="G338">
            <v>0</v>
          </cell>
          <cell r="J338" t="str">
            <v>2047–2048</v>
          </cell>
        </row>
        <row r="339">
          <cell r="G339">
            <v>0</v>
          </cell>
          <cell r="J339" t="str">
            <v>2047–2048</v>
          </cell>
        </row>
        <row r="340">
          <cell r="G340">
            <v>0</v>
          </cell>
          <cell r="J340" t="str">
            <v>2047–2048</v>
          </cell>
        </row>
        <row r="341">
          <cell r="G341">
            <v>0</v>
          </cell>
          <cell r="J341" t="str">
            <v>2047–2048</v>
          </cell>
        </row>
        <row r="342">
          <cell r="G342">
            <v>0</v>
          </cell>
          <cell r="J342" t="str">
            <v>2047–2048</v>
          </cell>
        </row>
        <row r="343">
          <cell r="G343">
            <v>0</v>
          </cell>
          <cell r="J343" t="str">
            <v>2047–2048</v>
          </cell>
        </row>
        <row r="344">
          <cell r="G344">
            <v>0</v>
          </cell>
          <cell r="J344" t="str">
            <v>2047–2048</v>
          </cell>
        </row>
        <row r="345">
          <cell r="G345">
            <v>0</v>
          </cell>
          <cell r="J345" t="str">
            <v>2047–2048</v>
          </cell>
        </row>
        <row r="346">
          <cell r="G346">
            <v>0</v>
          </cell>
          <cell r="J346" t="str">
            <v>2047–2048</v>
          </cell>
        </row>
        <row r="347">
          <cell r="G347">
            <v>0</v>
          </cell>
          <cell r="J347" t="str">
            <v>2047–2048</v>
          </cell>
        </row>
        <row r="348">
          <cell r="G348">
            <v>0</v>
          </cell>
          <cell r="J348" t="str">
            <v>2047–2048</v>
          </cell>
        </row>
        <row r="349">
          <cell r="G349">
            <v>0</v>
          </cell>
          <cell r="J349" t="str">
            <v>2048–2049</v>
          </cell>
        </row>
        <row r="350">
          <cell r="G350">
            <v>0</v>
          </cell>
          <cell r="J350" t="str">
            <v>2048–2049</v>
          </cell>
        </row>
        <row r="351">
          <cell r="G351">
            <v>0</v>
          </cell>
          <cell r="J351" t="str">
            <v>2048–2049</v>
          </cell>
        </row>
        <row r="352">
          <cell r="G352">
            <v>0</v>
          </cell>
          <cell r="J352" t="str">
            <v>2048–2049</v>
          </cell>
        </row>
        <row r="353">
          <cell r="G353">
            <v>0</v>
          </cell>
          <cell r="J353" t="str">
            <v>2048–2049</v>
          </cell>
        </row>
        <row r="354">
          <cell r="G354">
            <v>0</v>
          </cell>
          <cell r="J354" t="str">
            <v>2048–2049</v>
          </cell>
        </row>
        <row r="355">
          <cell r="G355">
            <v>0</v>
          </cell>
          <cell r="J355" t="str">
            <v>2048–2049</v>
          </cell>
        </row>
        <row r="356">
          <cell r="G356">
            <v>0</v>
          </cell>
          <cell r="J356" t="str">
            <v>2048–2049</v>
          </cell>
        </row>
        <row r="357">
          <cell r="G357">
            <v>0</v>
          </cell>
          <cell r="J357" t="str">
            <v>2048–2049</v>
          </cell>
        </row>
        <row r="358">
          <cell r="G358">
            <v>0</v>
          </cell>
          <cell r="J358" t="str">
            <v>2048–2049</v>
          </cell>
        </row>
        <row r="359">
          <cell r="G359">
            <v>0</v>
          </cell>
          <cell r="J359" t="str">
            <v>2048–2049</v>
          </cell>
        </row>
        <row r="360">
          <cell r="G360">
            <v>0</v>
          </cell>
          <cell r="J360" t="str">
            <v>2048–2049</v>
          </cell>
        </row>
        <row r="361">
          <cell r="G361">
            <v>0</v>
          </cell>
          <cell r="J361" t="str">
            <v>2049–2050</v>
          </cell>
        </row>
        <row r="362">
          <cell r="G362">
            <v>0</v>
          </cell>
          <cell r="J362" t="str">
            <v>2049–2050</v>
          </cell>
        </row>
        <row r="363">
          <cell r="G363">
            <v>0</v>
          </cell>
          <cell r="J363" t="str">
            <v>2049–2050</v>
          </cell>
        </row>
        <row r="364">
          <cell r="G364">
            <v>0</v>
          </cell>
          <cell r="J364" t="str">
            <v>2049–2050</v>
          </cell>
        </row>
        <row r="365">
          <cell r="G365">
            <v>0</v>
          </cell>
          <cell r="J365" t="str">
            <v>2049–2050</v>
          </cell>
        </row>
        <row r="366">
          <cell r="G366">
            <v>0</v>
          </cell>
          <cell r="J366" t="str">
            <v>2049–2050</v>
          </cell>
        </row>
        <row r="367">
          <cell r="G367">
            <v>0</v>
          </cell>
          <cell r="J367" t="str">
            <v>2049–2050</v>
          </cell>
        </row>
        <row r="368">
          <cell r="G368">
            <v>0</v>
          </cell>
          <cell r="J368" t="str">
            <v>2049–2050</v>
          </cell>
        </row>
        <row r="369">
          <cell r="G369">
            <v>0</v>
          </cell>
          <cell r="J369" t="str">
            <v>2049–2050</v>
          </cell>
        </row>
        <row r="370">
          <cell r="G370">
            <v>0</v>
          </cell>
          <cell r="J370" t="str">
            <v>2049–2050</v>
          </cell>
        </row>
        <row r="371">
          <cell r="G371">
            <v>0</v>
          </cell>
          <cell r="J371" t="str">
            <v>2049–2050</v>
          </cell>
        </row>
        <row r="372">
          <cell r="G372">
            <v>0</v>
          </cell>
          <cell r="J372" t="str">
            <v>2049–2050</v>
          </cell>
        </row>
        <row r="373">
          <cell r="G373">
            <v>0</v>
          </cell>
          <cell r="J373" t="str">
            <v>2050–2051</v>
          </cell>
        </row>
        <row r="374">
          <cell r="G374">
            <v>0</v>
          </cell>
          <cell r="J374" t="str">
            <v>2050–2051</v>
          </cell>
        </row>
        <row r="375">
          <cell r="G375">
            <v>0</v>
          </cell>
          <cell r="J375" t="str">
            <v>2050–2051</v>
          </cell>
        </row>
        <row r="376">
          <cell r="G376">
            <v>0</v>
          </cell>
          <cell r="J376" t="str">
            <v>2050–2051</v>
          </cell>
        </row>
        <row r="377">
          <cell r="G377">
            <v>0</v>
          </cell>
          <cell r="J377" t="str">
            <v>2050–2051</v>
          </cell>
        </row>
        <row r="378">
          <cell r="G378">
            <v>0</v>
          </cell>
          <cell r="J378" t="str">
            <v>2050–2051</v>
          </cell>
        </row>
        <row r="379">
          <cell r="G379">
            <v>0</v>
          </cell>
          <cell r="J379" t="str">
            <v>2050–2051</v>
          </cell>
        </row>
        <row r="380">
          <cell r="G380">
            <v>0</v>
          </cell>
          <cell r="J380" t="str">
            <v>2050–2051</v>
          </cell>
        </row>
        <row r="381">
          <cell r="G381">
            <v>0</v>
          </cell>
          <cell r="J381" t="str">
            <v>2050–2051</v>
          </cell>
        </row>
        <row r="382">
          <cell r="G382">
            <v>0</v>
          </cell>
          <cell r="J382" t="str">
            <v>2050–2051</v>
          </cell>
        </row>
        <row r="383">
          <cell r="G383">
            <v>0</v>
          </cell>
          <cell r="J383" t="str">
            <v>2050–2051</v>
          </cell>
        </row>
        <row r="384">
          <cell r="G384">
            <v>0</v>
          </cell>
          <cell r="J384" t="str">
            <v>2050–2051</v>
          </cell>
        </row>
        <row r="385">
          <cell r="G385">
            <v>0</v>
          </cell>
          <cell r="J385" t="str">
            <v>2051–2052</v>
          </cell>
        </row>
        <row r="386">
          <cell r="G386">
            <v>0</v>
          </cell>
          <cell r="J386" t="str">
            <v>2051–2052</v>
          </cell>
        </row>
        <row r="387">
          <cell r="G387">
            <v>0</v>
          </cell>
          <cell r="J387" t="str">
            <v>2051–2052</v>
          </cell>
        </row>
        <row r="388">
          <cell r="G388">
            <v>0</v>
          </cell>
          <cell r="J388" t="str">
            <v>2051–2052</v>
          </cell>
        </row>
        <row r="389">
          <cell r="G389">
            <v>0</v>
          </cell>
          <cell r="J389" t="str">
            <v>2051–2052</v>
          </cell>
        </row>
        <row r="390">
          <cell r="G390">
            <v>0</v>
          </cell>
          <cell r="J390" t="str">
            <v>2051–2052</v>
          </cell>
        </row>
        <row r="391">
          <cell r="G391">
            <v>0</v>
          </cell>
          <cell r="J391" t="str">
            <v>2051–2052</v>
          </cell>
        </row>
        <row r="392">
          <cell r="G392">
            <v>0</v>
          </cell>
          <cell r="J392" t="str">
            <v>2051–2052</v>
          </cell>
        </row>
        <row r="393">
          <cell r="G393">
            <v>0</v>
          </cell>
          <cell r="J393" t="str">
            <v>2051–2052</v>
          </cell>
        </row>
        <row r="394">
          <cell r="G394">
            <v>0</v>
          </cell>
          <cell r="J394" t="str">
            <v>2051–2052</v>
          </cell>
        </row>
        <row r="395">
          <cell r="G395">
            <v>0</v>
          </cell>
          <cell r="J395" t="str">
            <v>2051–2052</v>
          </cell>
        </row>
        <row r="396">
          <cell r="G396">
            <v>0</v>
          </cell>
          <cell r="J396" t="str">
            <v>2051–2052</v>
          </cell>
        </row>
        <row r="397">
          <cell r="G397">
            <v>0</v>
          </cell>
          <cell r="J397" t="str">
            <v>2052–2053</v>
          </cell>
        </row>
        <row r="398">
          <cell r="G398">
            <v>0</v>
          </cell>
          <cell r="J398" t="str">
            <v>2052–2053</v>
          </cell>
        </row>
        <row r="399">
          <cell r="G399">
            <v>0</v>
          </cell>
          <cell r="J399" t="str">
            <v>2052–2053</v>
          </cell>
        </row>
        <row r="400">
          <cell r="G400">
            <v>0</v>
          </cell>
          <cell r="J400" t="str">
            <v>2052–2053</v>
          </cell>
        </row>
        <row r="401">
          <cell r="G401">
            <v>0</v>
          </cell>
          <cell r="J401" t="str">
            <v>2052–2053</v>
          </cell>
        </row>
        <row r="402">
          <cell r="G402">
            <v>0</v>
          </cell>
          <cell r="J402" t="str">
            <v>2052–2053</v>
          </cell>
        </row>
        <row r="403">
          <cell r="G403">
            <v>0</v>
          </cell>
          <cell r="J403" t="str">
            <v>2052–2053</v>
          </cell>
        </row>
        <row r="404">
          <cell r="G404">
            <v>0</v>
          </cell>
          <cell r="J404" t="str">
            <v>2052–2053</v>
          </cell>
        </row>
        <row r="405">
          <cell r="G405">
            <v>0</v>
          </cell>
          <cell r="J405" t="str">
            <v>2052–2053</v>
          </cell>
        </row>
        <row r="406">
          <cell r="G406">
            <v>0</v>
          </cell>
          <cell r="J406" t="str">
            <v>2052–2053</v>
          </cell>
        </row>
        <row r="407">
          <cell r="G407">
            <v>0</v>
          </cell>
          <cell r="J407" t="str">
            <v>2052–2053</v>
          </cell>
        </row>
        <row r="408">
          <cell r="G408">
            <v>0</v>
          </cell>
          <cell r="J408" t="str">
            <v>2052–2053</v>
          </cell>
        </row>
        <row r="409">
          <cell r="G409">
            <v>0</v>
          </cell>
          <cell r="J409" t="str">
            <v>2053–2054</v>
          </cell>
        </row>
        <row r="410">
          <cell r="G410">
            <v>0</v>
          </cell>
          <cell r="J410" t="str">
            <v>2053–2054</v>
          </cell>
        </row>
        <row r="411">
          <cell r="G411">
            <v>0</v>
          </cell>
          <cell r="J411" t="str">
            <v>2053–2054</v>
          </cell>
        </row>
        <row r="412">
          <cell r="G412">
            <v>0</v>
          </cell>
          <cell r="J412" t="str">
            <v>2053–2054</v>
          </cell>
        </row>
        <row r="413">
          <cell r="G413">
            <v>0</v>
          </cell>
          <cell r="J413" t="str">
            <v>2053–2054</v>
          </cell>
        </row>
        <row r="414">
          <cell r="G414">
            <v>0</v>
          </cell>
          <cell r="J414" t="str">
            <v>2053–2054</v>
          </cell>
        </row>
        <row r="415">
          <cell r="G415">
            <v>0</v>
          </cell>
          <cell r="J415" t="str">
            <v>2053–2054</v>
          </cell>
        </row>
        <row r="416">
          <cell r="G416">
            <v>0</v>
          </cell>
          <cell r="J416" t="str">
            <v>2053–2054</v>
          </cell>
        </row>
        <row r="417">
          <cell r="G417">
            <v>0</v>
          </cell>
          <cell r="J417" t="str">
            <v>2053–2054</v>
          </cell>
        </row>
        <row r="418">
          <cell r="G418">
            <v>0</v>
          </cell>
          <cell r="J418" t="str">
            <v>2053–2054</v>
          </cell>
        </row>
        <row r="419">
          <cell r="G419">
            <v>0</v>
          </cell>
          <cell r="J419" t="str">
            <v>2053–2054</v>
          </cell>
        </row>
        <row r="420">
          <cell r="G420">
            <v>0</v>
          </cell>
          <cell r="J420" t="str">
            <v>2053–2054</v>
          </cell>
        </row>
        <row r="421">
          <cell r="G421">
            <v>0</v>
          </cell>
          <cell r="J421" t="str">
            <v>2054–2055</v>
          </cell>
        </row>
        <row r="422">
          <cell r="G422">
            <v>0</v>
          </cell>
          <cell r="J422" t="str">
            <v>2054–2055</v>
          </cell>
        </row>
        <row r="423">
          <cell r="G423">
            <v>0</v>
          </cell>
          <cell r="J423" t="str">
            <v>2054–2055</v>
          </cell>
        </row>
        <row r="424">
          <cell r="G424">
            <v>0</v>
          </cell>
          <cell r="J424" t="str">
            <v>2054–2055</v>
          </cell>
        </row>
        <row r="425">
          <cell r="G425">
            <v>0</v>
          </cell>
          <cell r="J425" t="str">
            <v>2054–2055</v>
          </cell>
        </row>
        <row r="426">
          <cell r="G426">
            <v>0</v>
          </cell>
          <cell r="J426" t="str">
            <v>2054–2055</v>
          </cell>
        </row>
        <row r="427">
          <cell r="G427">
            <v>0</v>
          </cell>
          <cell r="J427" t="str">
            <v>2054–2055</v>
          </cell>
        </row>
        <row r="428">
          <cell r="G428">
            <v>0</v>
          </cell>
          <cell r="J428" t="str">
            <v>2054–2055</v>
          </cell>
        </row>
        <row r="429">
          <cell r="G429">
            <v>0</v>
          </cell>
          <cell r="J429" t="str">
            <v>2054–2055</v>
          </cell>
        </row>
        <row r="430">
          <cell r="G430">
            <v>0</v>
          </cell>
          <cell r="J430" t="str">
            <v>2054–2055</v>
          </cell>
        </row>
        <row r="431">
          <cell r="G431">
            <v>0</v>
          </cell>
          <cell r="J431" t="str">
            <v>2054–2055</v>
          </cell>
        </row>
        <row r="432">
          <cell r="G432">
            <v>0</v>
          </cell>
          <cell r="J432" t="str">
            <v>2054–2055</v>
          </cell>
        </row>
        <row r="433">
          <cell r="G433">
            <v>0</v>
          </cell>
          <cell r="J433" t="str">
            <v>2055–2056</v>
          </cell>
        </row>
        <row r="434">
          <cell r="G434">
            <v>0</v>
          </cell>
          <cell r="J434" t="str">
            <v>2055–2056</v>
          </cell>
        </row>
        <row r="435">
          <cell r="G435">
            <v>0</v>
          </cell>
          <cell r="J435" t="str">
            <v>2055–2056</v>
          </cell>
        </row>
        <row r="436">
          <cell r="G436">
            <v>0</v>
          </cell>
          <cell r="J436" t="str">
            <v>2055–2056</v>
          </cell>
        </row>
        <row r="437">
          <cell r="G437">
            <v>0</v>
          </cell>
          <cell r="J437" t="str">
            <v>2055–2056</v>
          </cell>
        </row>
        <row r="438">
          <cell r="G438">
            <v>0</v>
          </cell>
          <cell r="J438" t="str">
            <v>2055–2056</v>
          </cell>
        </row>
        <row r="439">
          <cell r="G439">
            <v>0</v>
          </cell>
          <cell r="J439" t="str">
            <v>2055–2056</v>
          </cell>
        </row>
        <row r="440">
          <cell r="G440">
            <v>0</v>
          </cell>
          <cell r="J440" t="str">
            <v>2055–2056</v>
          </cell>
        </row>
        <row r="441">
          <cell r="G441">
            <v>0</v>
          </cell>
          <cell r="J441" t="str">
            <v>2055–2056</v>
          </cell>
        </row>
        <row r="442">
          <cell r="G442">
            <v>0</v>
          </cell>
          <cell r="J442" t="str">
            <v>2055–2056</v>
          </cell>
        </row>
        <row r="443">
          <cell r="G443">
            <v>0</v>
          </cell>
          <cell r="J443" t="str">
            <v>2055–2056</v>
          </cell>
        </row>
        <row r="444">
          <cell r="G444">
            <v>0</v>
          </cell>
          <cell r="J444" t="str">
            <v>2055–2056</v>
          </cell>
        </row>
        <row r="445">
          <cell r="G445">
            <v>0</v>
          </cell>
          <cell r="J445" t="str">
            <v>2056–2057</v>
          </cell>
        </row>
        <row r="446">
          <cell r="G446">
            <v>0</v>
          </cell>
          <cell r="J446" t="str">
            <v>2056–2057</v>
          </cell>
        </row>
        <row r="447">
          <cell r="G447">
            <v>0</v>
          </cell>
          <cell r="J447" t="str">
            <v>2056–2057</v>
          </cell>
        </row>
        <row r="448">
          <cell r="G448">
            <v>0</v>
          </cell>
          <cell r="J448" t="str">
            <v>2056–2057</v>
          </cell>
        </row>
        <row r="449">
          <cell r="G449">
            <v>0</v>
          </cell>
          <cell r="J449" t="str">
            <v>2056–2057</v>
          </cell>
        </row>
        <row r="450">
          <cell r="G450">
            <v>0</v>
          </cell>
          <cell r="J450" t="str">
            <v>2056–2057</v>
          </cell>
        </row>
        <row r="451">
          <cell r="G451">
            <v>0</v>
          </cell>
          <cell r="J451" t="str">
            <v>2056–2057</v>
          </cell>
        </row>
        <row r="452">
          <cell r="G452">
            <v>0</v>
          </cell>
          <cell r="J452" t="str">
            <v>2056–2057</v>
          </cell>
        </row>
        <row r="453">
          <cell r="G453">
            <v>0</v>
          </cell>
          <cell r="J453" t="str">
            <v>2056–2057</v>
          </cell>
        </row>
        <row r="454">
          <cell r="G454">
            <v>0</v>
          </cell>
          <cell r="J454" t="str">
            <v>2056–2057</v>
          </cell>
        </row>
        <row r="455">
          <cell r="G455">
            <v>0</v>
          </cell>
          <cell r="J455" t="str">
            <v>2056–2057</v>
          </cell>
        </row>
        <row r="456">
          <cell r="G456">
            <v>0</v>
          </cell>
          <cell r="J456" t="str">
            <v>2056–2057</v>
          </cell>
        </row>
        <row r="457">
          <cell r="G457">
            <v>0</v>
          </cell>
          <cell r="J457" t="str">
            <v>2057–2058</v>
          </cell>
        </row>
        <row r="458">
          <cell r="G458">
            <v>0</v>
          </cell>
          <cell r="J458" t="str">
            <v>2057–2058</v>
          </cell>
        </row>
        <row r="459">
          <cell r="G459">
            <v>0</v>
          </cell>
          <cell r="J459" t="str">
            <v>2057–2058</v>
          </cell>
        </row>
        <row r="460">
          <cell r="G460">
            <v>0</v>
          </cell>
          <cell r="J460" t="str">
            <v>2057–2058</v>
          </cell>
        </row>
        <row r="461">
          <cell r="G461">
            <v>0</v>
          </cell>
          <cell r="J461" t="str">
            <v>2057–2058</v>
          </cell>
        </row>
        <row r="462">
          <cell r="G462">
            <v>0</v>
          </cell>
          <cell r="J462" t="str">
            <v>2057–2058</v>
          </cell>
        </row>
        <row r="463">
          <cell r="G463">
            <v>0</v>
          </cell>
          <cell r="J463" t="str">
            <v>2057–2058</v>
          </cell>
        </row>
        <row r="464">
          <cell r="G464">
            <v>0</v>
          </cell>
          <cell r="J464" t="str">
            <v>2057–2058</v>
          </cell>
        </row>
        <row r="465">
          <cell r="G465">
            <v>0</v>
          </cell>
          <cell r="J465" t="str">
            <v>2057–2058</v>
          </cell>
        </row>
        <row r="466">
          <cell r="G466">
            <v>0</v>
          </cell>
          <cell r="J466" t="str">
            <v>2057–2058</v>
          </cell>
        </row>
        <row r="467">
          <cell r="G467">
            <v>0</v>
          </cell>
          <cell r="J467" t="str">
            <v>2057–2058</v>
          </cell>
        </row>
        <row r="468">
          <cell r="G468">
            <v>0</v>
          </cell>
          <cell r="J468" t="str">
            <v>2057–2058</v>
          </cell>
        </row>
        <row r="469">
          <cell r="G469">
            <v>0</v>
          </cell>
          <cell r="J469" t="str">
            <v>2058–2059</v>
          </cell>
        </row>
        <row r="470">
          <cell r="G470">
            <v>0</v>
          </cell>
          <cell r="J470" t="str">
            <v>2058–2059</v>
          </cell>
        </row>
        <row r="471">
          <cell r="G471">
            <v>0</v>
          </cell>
          <cell r="J471" t="str">
            <v>2058–2059</v>
          </cell>
        </row>
        <row r="472">
          <cell r="G472">
            <v>0</v>
          </cell>
          <cell r="J472" t="str">
            <v>2058–2059</v>
          </cell>
        </row>
        <row r="473">
          <cell r="G473">
            <v>0</v>
          </cell>
          <cell r="J473" t="str">
            <v>2058–2059</v>
          </cell>
        </row>
        <row r="474">
          <cell r="G474">
            <v>0</v>
          </cell>
          <cell r="J474" t="str">
            <v>2058–2059</v>
          </cell>
        </row>
        <row r="475">
          <cell r="G475">
            <v>0</v>
          </cell>
          <cell r="J475" t="str">
            <v>2058–2059</v>
          </cell>
        </row>
        <row r="476">
          <cell r="G476">
            <v>0</v>
          </cell>
          <cell r="J476" t="str">
            <v>2058–2059</v>
          </cell>
        </row>
        <row r="477">
          <cell r="G477">
            <v>0</v>
          </cell>
          <cell r="J477" t="str">
            <v>2058–2059</v>
          </cell>
        </row>
        <row r="478">
          <cell r="G478">
            <v>0</v>
          </cell>
          <cell r="J478" t="str">
            <v>2058–2059</v>
          </cell>
        </row>
        <row r="479">
          <cell r="G479">
            <v>0</v>
          </cell>
          <cell r="J479" t="str">
            <v>2058–2059</v>
          </cell>
        </row>
        <row r="480">
          <cell r="G480">
            <v>0</v>
          </cell>
          <cell r="J480" t="str">
            <v>2058–2059</v>
          </cell>
        </row>
        <row r="481">
          <cell r="G481">
            <v>0</v>
          </cell>
          <cell r="J481" t="str">
            <v>2059–2060</v>
          </cell>
        </row>
        <row r="482">
          <cell r="G482">
            <v>0</v>
          </cell>
          <cell r="J482" t="str">
            <v>2059–2060</v>
          </cell>
        </row>
        <row r="483">
          <cell r="G483">
            <v>0</v>
          </cell>
          <cell r="J483" t="str">
            <v>2059–2060</v>
          </cell>
        </row>
        <row r="484">
          <cell r="G484">
            <v>0</v>
          </cell>
          <cell r="J484" t="str">
            <v>2059–2060</v>
          </cell>
        </row>
        <row r="485">
          <cell r="G485">
            <v>0</v>
          </cell>
          <cell r="J485" t="str">
            <v>2059–2060</v>
          </cell>
        </row>
        <row r="486">
          <cell r="G486">
            <v>0</v>
          </cell>
          <cell r="J486" t="str">
            <v>2059–2060</v>
          </cell>
        </row>
        <row r="487">
          <cell r="G487">
            <v>0</v>
          </cell>
          <cell r="J487" t="str">
            <v>2059–2060</v>
          </cell>
        </row>
        <row r="488">
          <cell r="G488">
            <v>0</v>
          </cell>
          <cell r="J488" t="str">
            <v>2059–2060</v>
          </cell>
        </row>
        <row r="489">
          <cell r="G489">
            <v>0</v>
          </cell>
          <cell r="J489" t="str">
            <v>2059–2060</v>
          </cell>
        </row>
        <row r="490">
          <cell r="G490">
            <v>0</v>
          </cell>
          <cell r="J490" t="str">
            <v>2059–2060</v>
          </cell>
        </row>
        <row r="491">
          <cell r="G491">
            <v>0</v>
          </cell>
          <cell r="J491" t="str">
            <v>2059–2060</v>
          </cell>
        </row>
        <row r="492">
          <cell r="G492">
            <v>0</v>
          </cell>
          <cell r="J492" t="str">
            <v>2059–2060</v>
          </cell>
        </row>
        <row r="493">
          <cell r="G493">
            <v>0</v>
          </cell>
          <cell r="J493" t="str">
            <v>2060–2061</v>
          </cell>
        </row>
        <row r="494">
          <cell r="G494">
            <v>0</v>
          </cell>
          <cell r="J494" t="str">
            <v>2060–2061</v>
          </cell>
        </row>
        <row r="495">
          <cell r="G495">
            <v>0</v>
          </cell>
          <cell r="J495" t="str">
            <v>2060–2061</v>
          </cell>
        </row>
        <row r="496">
          <cell r="G496">
            <v>0</v>
          </cell>
          <cell r="J496" t="str">
            <v>2060–2061</v>
          </cell>
        </row>
        <row r="497">
          <cell r="G497">
            <v>0</v>
          </cell>
          <cell r="J497" t="str">
            <v>2060–2061</v>
          </cell>
        </row>
        <row r="498">
          <cell r="G498">
            <v>0</v>
          </cell>
          <cell r="J498" t="str">
            <v>2060–2061</v>
          </cell>
        </row>
        <row r="499">
          <cell r="G499">
            <v>0</v>
          </cell>
          <cell r="J499" t="str">
            <v>2060–2061</v>
          </cell>
        </row>
        <row r="500">
          <cell r="G500">
            <v>0</v>
          </cell>
          <cell r="J500" t="str">
            <v>2060–2061</v>
          </cell>
        </row>
        <row r="501">
          <cell r="G501">
            <v>0</v>
          </cell>
          <cell r="J501" t="str">
            <v>2060–2061</v>
          </cell>
        </row>
        <row r="502">
          <cell r="G502">
            <v>0</v>
          </cell>
          <cell r="J502" t="str">
            <v>2060–2061</v>
          </cell>
        </row>
        <row r="503">
          <cell r="G503">
            <v>0</v>
          </cell>
          <cell r="J503" t="str">
            <v>2060–2061</v>
          </cell>
        </row>
        <row r="504">
          <cell r="G504">
            <v>0</v>
          </cell>
          <cell r="J504" t="str">
            <v>2060–2061</v>
          </cell>
        </row>
        <row r="505">
          <cell r="G505">
            <v>0</v>
          </cell>
          <cell r="J505" t="str">
            <v>2061–2062</v>
          </cell>
        </row>
        <row r="506">
          <cell r="G506">
            <v>0</v>
          </cell>
          <cell r="J506" t="str">
            <v>2061–2062</v>
          </cell>
        </row>
        <row r="507">
          <cell r="G507">
            <v>0</v>
          </cell>
          <cell r="J507" t="str">
            <v>2061–2062</v>
          </cell>
        </row>
        <row r="508">
          <cell r="G508">
            <v>0</v>
          </cell>
          <cell r="J508" t="str">
            <v>2061–2062</v>
          </cell>
        </row>
        <row r="509">
          <cell r="G509">
            <v>0</v>
          </cell>
          <cell r="J509" t="str">
            <v>2061–2062</v>
          </cell>
        </row>
        <row r="510">
          <cell r="G510">
            <v>0</v>
          </cell>
          <cell r="J510" t="str">
            <v>2061–2062</v>
          </cell>
        </row>
        <row r="511">
          <cell r="G511">
            <v>0</v>
          </cell>
          <cell r="J511" t="str">
            <v>2061–2062</v>
          </cell>
        </row>
        <row r="512">
          <cell r="G512">
            <v>0</v>
          </cell>
          <cell r="J512" t="str">
            <v>2061–2062</v>
          </cell>
        </row>
        <row r="513">
          <cell r="G513">
            <v>0</v>
          </cell>
          <cell r="J513" t="str">
            <v>2061–2062</v>
          </cell>
        </row>
        <row r="514">
          <cell r="G514">
            <v>0</v>
          </cell>
          <cell r="J514" t="str">
            <v>2061–2062</v>
          </cell>
        </row>
        <row r="515">
          <cell r="G515">
            <v>0</v>
          </cell>
          <cell r="J515" t="str">
            <v>2061–2062</v>
          </cell>
        </row>
        <row r="516">
          <cell r="G516">
            <v>0</v>
          </cell>
          <cell r="J516" t="str">
            <v>2061–2062</v>
          </cell>
        </row>
        <row r="517">
          <cell r="G517">
            <v>0</v>
          </cell>
          <cell r="J517" t="str">
            <v>2062–2063</v>
          </cell>
        </row>
        <row r="518">
          <cell r="G518">
            <v>0</v>
          </cell>
          <cell r="J518" t="str">
            <v>2062–2063</v>
          </cell>
        </row>
        <row r="519">
          <cell r="G519">
            <v>0</v>
          </cell>
          <cell r="J519" t="str">
            <v>2062–2063</v>
          </cell>
        </row>
        <row r="520">
          <cell r="G520">
            <v>0</v>
          </cell>
          <cell r="J520" t="str">
            <v>2062–2063</v>
          </cell>
        </row>
        <row r="521">
          <cell r="G521">
            <v>0</v>
          </cell>
          <cell r="J521" t="str">
            <v>2062–2063</v>
          </cell>
        </row>
        <row r="522">
          <cell r="G522">
            <v>0</v>
          </cell>
          <cell r="J522" t="str">
            <v>2062–2063</v>
          </cell>
        </row>
        <row r="523">
          <cell r="G523">
            <v>0</v>
          </cell>
          <cell r="J523" t="str">
            <v>2062–2063</v>
          </cell>
        </row>
        <row r="524">
          <cell r="G524">
            <v>0</v>
          </cell>
          <cell r="J524" t="str">
            <v>2062–2063</v>
          </cell>
        </row>
        <row r="525">
          <cell r="G525">
            <v>0</v>
          </cell>
          <cell r="J525" t="str">
            <v>2062–2063</v>
          </cell>
        </row>
        <row r="526">
          <cell r="G526">
            <v>0</v>
          </cell>
          <cell r="J526" t="str">
            <v>2062–2063</v>
          </cell>
        </row>
        <row r="527">
          <cell r="G527">
            <v>0</v>
          </cell>
          <cell r="J527" t="str">
            <v>2062–2063</v>
          </cell>
        </row>
        <row r="528">
          <cell r="G528">
            <v>0</v>
          </cell>
          <cell r="J528" t="str">
            <v>2062–2063</v>
          </cell>
        </row>
        <row r="529">
          <cell r="G529">
            <v>0</v>
          </cell>
          <cell r="J529" t="str">
            <v>2063–2064</v>
          </cell>
        </row>
        <row r="530">
          <cell r="G530">
            <v>0</v>
          </cell>
          <cell r="J530" t="str">
            <v>2063–2064</v>
          </cell>
        </row>
        <row r="531">
          <cell r="G531">
            <v>0</v>
          </cell>
          <cell r="J531" t="str">
            <v>2063–2064</v>
          </cell>
        </row>
        <row r="532">
          <cell r="G532">
            <v>0</v>
          </cell>
          <cell r="J532" t="str">
            <v>2063–2064</v>
          </cell>
        </row>
        <row r="533">
          <cell r="G533">
            <v>0</v>
          </cell>
          <cell r="J533" t="str">
            <v>2063–2064</v>
          </cell>
        </row>
        <row r="534">
          <cell r="G534">
            <v>0</v>
          </cell>
          <cell r="J534" t="str">
            <v>2063–2064</v>
          </cell>
        </row>
        <row r="535">
          <cell r="G535">
            <v>0</v>
          </cell>
          <cell r="J535" t="str">
            <v>2063–2064</v>
          </cell>
        </row>
        <row r="536">
          <cell r="G536">
            <v>0</v>
          </cell>
          <cell r="J536" t="str">
            <v>2063–2064</v>
          </cell>
        </row>
        <row r="537">
          <cell r="G537">
            <v>0</v>
          </cell>
          <cell r="J537" t="str">
            <v>2063–2064</v>
          </cell>
        </row>
        <row r="538">
          <cell r="G538">
            <v>0</v>
          </cell>
          <cell r="J538" t="str">
            <v>2063–2064</v>
          </cell>
        </row>
        <row r="539">
          <cell r="G539">
            <v>0</v>
          </cell>
          <cell r="J539" t="str">
            <v>2063–2064</v>
          </cell>
        </row>
        <row r="540">
          <cell r="G540">
            <v>0</v>
          </cell>
          <cell r="J540" t="str">
            <v>2063–2064</v>
          </cell>
        </row>
        <row r="541">
          <cell r="G541">
            <v>0</v>
          </cell>
          <cell r="J541" t="str">
            <v>2064–2065</v>
          </cell>
        </row>
        <row r="542">
          <cell r="G542">
            <v>0</v>
          </cell>
          <cell r="J542" t="str">
            <v>2064–2065</v>
          </cell>
        </row>
        <row r="543">
          <cell r="G543">
            <v>0</v>
          </cell>
          <cell r="J543" t="str">
            <v>2064–2065</v>
          </cell>
        </row>
        <row r="544">
          <cell r="G544">
            <v>0</v>
          </cell>
          <cell r="J544" t="str">
            <v>2064–2065</v>
          </cell>
        </row>
        <row r="545">
          <cell r="G545">
            <v>0</v>
          </cell>
          <cell r="J545" t="str">
            <v>2064–2065</v>
          </cell>
        </row>
        <row r="546">
          <cell r="G546">
            <v>0</v>
          </cell>
          <cell r="J546" t="str">
            <v>2064–2065</v>
          </cell>
        </row>
        <row r="547">
          <cell r="G547">
            <v>0</v>
          </cell>
          <cell r="J547" t="str">
            <v>2064–2065</v>
          </cell>
        </row>
        <row r="548">
          <cell r="G548">
            <v>0</v>
          </cell>
          <cell r="J548" t="str">
            <v>2064–2065</v>
          </cell>
        </row>
        <row r="549">
          <cell r="G549">
            <v>0</v>
          </cell>
          <cell r="J549" t="str">
            <v>2064–2065</v>
          </cell>
        </row>
        <row r="550">
          <cell r="G550">
            <v>0</v>
          </cell>
          <cell r="J550" t="str">
            <v>2064–2065</v>
          </cell>
        </row>
        <row r="551">
          <cell r="G551">
            <v>0</v>
          </cell>
          <cell r="J551" t="str">
            <v>2064–2065</v>
          </cell>
        </row>
        <row r="552">
          <cell r="G552">
            <v>0</v>
          </cell>
          <cell r="J552" t="str">
            <v>2064–2065</v>
          </cell>
        </row>
        <row r="553">
          <cell r="G553">
            <v>0</v>
          </cell>
          <cell r="J553" t="str">
            <v>2065–2066</v>
          </cell>
        </row>
        <row r="554">
          <cell r="G554">
            <v>0</v>
          </cell>
          <cell r="J554" t="str">
            <v>2065–2066</v>
          </cell>
        </row>
        <row r="555">
          <cell r="G555">
            <v>0</v>
          </cell>
          <cell r="J555" t="str">
            <v>2065–2066</v>
          </cell>
        </row>
        <row r="556">
          <cell r="G556">
            <v>0</v>
          </cell>
          <cell r="J556" t="str">
            <v>2065–2066</v>
          </cell>
        </row>
        <row r="557">
          <cell r="G557">
            <v>0</v>
          </cell>
          <cell r="J557" t="str">
            <v>2065–2066</v>
          </cell>
        </row>
        <row r="558">
          <cell r="G558">
            <v>0</v>
          </cell>
          <cell r="J558" t="str">
            <v>2065–2066</v>
          </cell>
        </row>
        <row r="559">
          <cell r="G559">
            <v>0</v>
          </cell>
          <cell r="J559" t="str">
            <v>2065–2066</v>
          </cell>
        </row>
        <row r="560">
          <cell r="G560">
            <v>0</v>
          </cell>
          <cell r="J560" t="str">
            <v>2065–2066</v>
          </cell>
        </row>
        <row r="561">
          <cell r="G561">
            <v>0</v>
          </cell>
          <cell r="J561" t="str">
            <v>2065–2066</v>
          </cell>
        </row>
        <row r="562">
          <cell r="G562">
            <v>0</v>
          </cell>
          <cell r="J562" t="str">
            <v>2065–2066</v>
          </cell>
        </row>
        <row r="563">
          <cell r="G563">
            <v>0</v>
          </cell>
          <cell r="J563" t="str">
            <v>2065–2066</v>
          </cell>
        </row>
        <row r="564">
          <cell r="G564">
            <v>0</v>
          </cell>
          <cell r="J564" t="str">
            <v>2065–2066</v>
          </cell>
        </row>
        <row r="565">
          <cell r="G565">
            <v>0</v>
          </cell>
          <cell r="J565" t="str">
            <v>2066–2067</v>
          </cell>
        </row>
        <row r="566">
          <cell r="G566">
            <v>0</v>
          </cell>
          <cell r="J566" t="str">
            <v>2066–2067</v>
          </cell>
        </row>
        <row r="567">
          <cell r="G567">
            <v>0</v>
          </cell>
          <cell r="J567" t="str">
            <v>2066–2067</v>
          </cell>
        </row>
        <row r="568">
          <cell r="G568">
            <v>0</v>
          </cell>
          <cell r="J568" t="str">
            <v>2066–2067</v>
          </cell>
        </row>
        <row r="569">
          <cell r="G569">
            <v>0</v>
          </cell>
          <cell r="J569" t="str">
            <v>2066–2067</v>
          </cell>
        </row>
        <row r="570">
          <cell r="G570">
            <v>0</v>
          </cell>
          <cell r="J570" t="str">
            <v>2066–2067</v>
          </cell>
        </row>
        <row r="571">
          <cell r="G571">
            <v>0</v>
          </cell>
          <cell r="J571" t="str">
            <v>2066–2067</v>
          </cell>
        </row>
        <row r="572">
          <cell r="G572">
            <v>0</v>
          </cell>
          <cell r="J572" t="str">
            <v>2066–2067</v>
          </cell>
        </row>
        <row r="573">
          <cell r="G573">
            <v>0</v>
          </cell>
          <cell r="J573" t="str">
            <v>2066–2067</v>
          </cell>
        </row>
        <row r="574">
          <cell r="G574">
            <v>0</v>
          </cell>
          <cell r="J574" t="str">
            <v>2066–2067</v>
          </cell>
        </row>
        <row r="575">
          <cell r="G575">
            <v>0</v>
          </cell>
          <cell r="J575" t="str">
            <v>2066–2067</v>
          </cell>
        </row>
        <row r="576">
          <cell r="G576">
            <v>0</v>
          </cell>
          <cell r="J576" t="str">
            <v>2066–2067</v>
          </cell>
        </row>
        <row r="577">
          <cell r="G577">
            <v>0</v>
          </cell>
          <cell r="J577" t="str">
            <v>2067–2068</v>
          </cell>
        </row>
        <row r="578">
          <cell r="G578">
            <v>0</v>
          </cell>
          <cell r="J578" t="str">
            <v>2067–2068</v>
          </cell>
        </row>
        <row r="579">
          <cell r="G579">
            <v>0</v>
          </cell>
          <cell r="J579" t="str">
            <v>2067–2068</v>
          </cell>
        </row>
        <row r="580">
          <cell r="G580">
            <v>0</v>
          </cell>
          <cell r="J580" t="str">
            <v>2067–2068</v>
          </cell>
        </row>
        <row r="581">
          <cell r="G581">
            <v>0</v>
          </cell>
          <cell r="J581" t="str">
            <v>2067–2068</v>
          </cell>
        </row>
        <row r="582">
          <cell r="G582">
            <v>0</v>
          </cell>
          <cell r="J582" t="str">
            <v>2067–2068</v>
          </cell>
        </row>
        <row r="583">
          <cell r="G583">
            <v>0</v>
          </cell>
          <cell r="J583" t="str">
            <v>2067–2068</v>
          </cell>
        </row>
        <row r="584">
          <cell r="G584">
            <v>0</v>
          </cell>
          <cell r="J584" t="str">
            <v>2067–2068</v>
          </cell>
        </row>
        <row r="585">
          <cell r="G585">
            <v>0</v>
          </cell>
          <cell r="J585" t="str">
            <v>2067–2068</v>
          </cell>
        </row>
        <row r="586">
          <cell r="G586">
            <v>0</v>
          </cell>
          <cell r="J586" t="str">
            <v>2067–2068</v>
          </cell>
        </row>
        <row r="587">
          <cell r="G587">
            <v>0</v>
          </cell>
          <cell r="J587" t="str">
            <v>2067–2068</v>
          </cell>
        </row>
        <row r="588">
          <cell r="G588">
            <v>0</v>
          </cell>
          <cell r="J588" t="str">
            <v>2067–2068</v>
          </cell>
        </row>
        <row r="589">
          <cell r="G589">
            <v>0</v>
          </cell>
          <cell r="J589" t="str">
            <v>2068–2069</v>
          </cell>
        </row>
        <row r="590">
          <cell r="G590">
            <v>0</v>
          </cell>
          <cell r="J590" t="str">
            <v>2068–2069</v>
          </cell>
        </row>
        <row r="591">
          <cell r="G591">
            <v>0</v>
          </cell>
          <cell r="J591" t="str">
            <v>2068–2069</v>
          </cell>
        </row>
        <row r="592">
          <cell r="G592">
            <v>0</v>
          </cell>
          <cell r="J592" t="str">
            <v>2068–2069</v>
          </cell>
        </row>
        <row r="593">
          <cell r="G593">
            <v>0</v>
          </cell>
          <cell r="J593" t="str">
            <v>2068–2069</v>
          </cell>
        </row>
        <row r="594">
          <cell r="G594">
            <v>0</v>
          </cell>
          <cell r="J594" t="str">
            <v>2068–2069</v>
          </cell>
        </row>
        <row r="595">
          <cell r="G595">
            <v>0</v>
          </cell>
          <cell r="J595" t="str">
            <v>2068–2069</v>
          </cell>
        </row>
        <row r="596">
          <cell r="G596">
            <v>0</v>
          </cell>
          <cell r="J596" t="str">
            <v>2068–2069</v>
          </cell>
        </row>
        <row r="597">
          <cell r="G597">
            <v>0</v>
          </cell>
          <cell r="J597" t="str">
            <v>2068–2069</v>
          </cell>
        </row>
        <row r="598">
          <cell r="G598">
            <v>0</v>
          </cell>
          <cell r="J598" t="str">
            <v>2068–2069</v>
          </cell>
        </row>
        <row r="599">
          <cell r="G599">
            <v>0</v>
          </cell>
          <cell r="J599" t="str">
            <v>2068–2069</v>
          </cell>
        </row>
        <row r="600">
          <cell r="G600">
            <v>0</v>
          </cell>
          <cell r="J600" t="str">
            <v>2068–2069</v>
          </cell>
        </row>
        <row r="601">
          <cell r="G601">
            <v>0</v>
          </cell>
          <cell r="J601" t="str">
            <v>2069–2070</v>
          </cell>
        </row>
        <row r="602">
          <cell r="G602">
            <v>0</v>
          </cell>
          <cell r="J602" t="str">
            <v>2069–2070</v>
          </cell>
        </row>
        <row r="603">
          <cell r="G603">
            <v>0</v>
          </cell>
          <cell r="J603" t="str">
            <v>2069–2070</v>
          </cell>
        </row>
        <row r="604">
          <cell r="G604">
            <v>0</v>
          </cell>
          <cell r="J604" t="str">
            <v>2069–2070</v>
          </cell>
        </row>
        <row r="605">
          <cell r="G605">
            <v>0</v>
          </cell>
          <cell r="J605" t="str">
            <v>2069–2070</v>
          </cell>
        </row>
        <row r="606">
          <cell r="G606">
            <v>0</v>
          </cell>
          <cell r="J606" t="str">
            <v>2069–2070</v>
          </cell>
        </row>
        <row r="607">
          <cell r="G607">
            <v>0</v>
          </cell>
          <cell r="J607" t="str">
            <v>2069–2070</v>
          </cell>
        </row>
        <row r="608">
          <cell r="G608">
            <v>0</v>
          </cell>
          <cell r="J608" t="str">
            <v>2069–2070</v>
          </cell>
        </row>
        <row r="609">
          <cell r="G609">
            <v>0</v>
          </cell>
          <cell r="J609" t="str">
            <v>2069–2070</v>
          </cell>
        </row>
        <row r="610">
          <cell r="G610">
            <v>0</v>
          </cell>
          <cell r="J610" t="str">
            <v>2069–2070</v>
          </cell>
        </row>
        <row r="611">
          <cell r="G611">
            <v>0</v>
          </cell>
          <cell r="J611" t="str">
            <v>2069–2070</v>
          </cell>
        </row>
        <row r="612">
          <cell r="G612">
            <v>0</v>
          </cell>
          <cell r="J612" t="str">
            <v>2069–2070</v>
          </cell>
        </row>
        <row r="613">
          <cell r="G613">
            <v>0</v>
          </cell>
          <cell r="J613" t="str">
            <v>2070–2071</v>
          </cell>
        </row>
        <row r="614">
          <cell r="G614">
            <v>0</v>
          </cell>
          <cell r="J614" t="str">
            <v>2070–2071</v>
          </cell>
        </row>
        <row r="615">
          <cell r="G615">
            <v>0</v>
          </cell>
          <cell r="J615" t="str">
            <v>2070–2071</v>
          </cell>
        </row>
        <row r="616">
          <cell r="G616">
            <v>0</v>
          </cell>
          <cell r="J616" t="str">
            <v>2070–2071</v>
          </cell>
        </row>
        <row r="617">
          <cell r="G617">
            <v>0</v>
          </cell>
          <cell r="J617" t="str">
            <v>2070–2071</v>
          </cell>
        </row>
        <row r="618">
          <cell r="G618">
            <v>0</v>
          </cell>
          <cell r="J618" t="str">
            <v>2070–2071</v>
          </cell>
        </row>
        <row r="619">
          <cell r="G619">
            <v>0</v>
          </cell>
          <cell r="J619" t="str">
            <v>2070–2071</v>
          </cell>
        </row>
        <row r="620">
          <cell r="G620">
            <v>0</v>
          </cell>
          <cell r="J620" t="str">
            <v>2070–2071</v>
          </cell>
        </row>
        <row r="621">
          <cell r="G621">
            <v>0</v>
          </cell>
          <cell r="J621" t="str">
            <v>2070–2071</v>
          </cell>
        </row>
        <row r="622">
          <cell r="G622">
            <v>0</v>
          </cell>
          <cell r="J622" t="str">
            <v>2070–2071</v>
          </cell>
        </row>
        <row r="623">
          <cell r="G623">
            <v>0</v>
          </cell>
          <cell r="J623" t="str">
            <v>2070–2071</v>
          </cell>
        </row>
        <row r="624">
          <cell r="G624">
            <v>0</v>
          </cell>
          <cell r="J624" t="str">
            <v>2070–2071</v>
          </cell>
        </row>
        <row r="625">
          <cell r="G625">
            <v>0</v>
          </cell>
          <cell r="J625" t="str">
            <v>2071–2072</v>
          </cell>
        </row>
        <row r="626">
          <cell r="G626">
            <v>0</v>
          </cell>
          <cell r="J626" t="str">
            <v>2071–2072</v>
          </cell>
        </row>
        <row r="627">
          <cell r="G627">
            <v>0</v>
          </cell>
          <cell r="J627" t="str">
            <v>2071–2072</v>
          </cell>
        </row>
        <row r="628">
          <cell r="G628">
            <v>0</v>
          </cell>
          <cell r="J628" t="str">
            <v>2071–2072</v>
          </cell>
        </row>
        <row r="629">
          <cell r="G629">
            <v>0</v>
          </cell>
          <cell r="J629" t="str">
            <v>2071–2072</v>
          </cell>
        </row>
        <row r="630">
          <cell r="G630">
            <v>0</v>
          </cell>
          <cell r="J630" t="str">
            <v>2071–2072</v>
          </cell>
        </row>
        <row r="631">
          <cell r="G631">
            <v>0</v>
          </cell>
          <cell r="J631" t="str">
            <v>2071–2072</v>
          </cell>
        </row>
        <row r="632">
          <cell r="G632">
            <v>0</v>
          </cell>
          <cell r="J632" t="str">
            <v>2071–2072</v>
          </cell>
        </row>
        <row r="633">
          <cell r="G633">
            <v>0</v>
          </cell>
          <cell r="J633" t="str">
            <v>2071–2072</v>
          </cell>
        </row>
        <row r="634">
          <cell r="G634">
            <v>0</v>
          </cell>
          <cell r="J634" t="str">
            <v>2071–2072</v>
          </cell>
        </row>
        <row r="635">
          <cell r="G635">
            <v>0</v>
          </cell>
          <cell r="J635" t="str">
            <v>2071–2072</v>
          </cell>
        </row>
        <row r="636">
          <cell r="G636">
            <v>0</v>
          </cell>
          <cell r="J636" t="str">
            <v>2071–2072</v>
          </cell>
        </row>
        <row r="637">
          <cell r="G637">
            <v>0</v>
          </cell>
          <cell r="J637" t="str">
            <v>2072–2073</v>
          </cell>
        </row>
        <row r="638">
          <cell r="G638">
            <v>0</v>
          </cell>
          <cell r="J638" t="str">
            <v>2072–2073</v>
          </cell>
        </row>
        <row r="639">
          <cell r="G639">
            <v>0</v>
          </cell>
          <cell r="J639" t="str">
            <v>2072–2073</v>
          </cell>
        </row>
        <row r="640">
          <cell r="G640">
            <v>0</v>
          </cell>
          <cell r="J640" t="str">
            <v>2072–2073</v>
          </cell>
        </row>
        <row r="641">
          <cell r="G641">
            <v>0</v>
          </cell>
          <cell r="J641" t="str">
            <v>2072–2073</v>
          </cell>
        </row>
        <row r="642">
          <cell r="G642">
            <v>0</v>
          </cell>
          <cell r="J642" t="str">
            <v>2072–2073</v>
          </cell>
        </row>
        <row r="643">
          <cell r="G643">
            <v>0</v>
          </cell>
          <cell r="J643" t="str">
            <v>2072–2073</v>
          </cell>
        </row>
        <row r="644">
          <cell r="G644">
            <v>0</v>
          </cell>
          <cell r="J644" t="str">
            <v>2072–2073</v>
          </cell>
        </row>
        <row r="645">
          <cell r="G645">
            <v>0</v>
          </cell>
          <cell r="J645" t="str">
            <v>2072–2073</v>
          </cell>
        </row>
        <row r="646">
          <cell r="G646">
            <v>0</v>
          </cell>
          <cell r="J646" t="str">
            <v>2072–2073</v>
          </cell>
        </row>
        <row r="647">
          <cell r="G647">
            <v>0</v>
          </cell>
          <cell r="J647" t="str">
            <v>2072–2073</v>
          </cell>
        </row>
        <row r="648">
          <cell r="G648">
            <v>0</v>
          </cell>
          <cell r="J648" t="str">
            <v>2072–2073</v>
          </cell>
        </row>
        <row r="649">
          <cell r="G649">
            <v>0</v>
          </cell>
          <cell r="J649" t="str">
            <v>2073–2074</v>
          </cell>
        </row>
        <row r="650">
          <cell r="G650">
            <v>0</v>
          </cell>
          <cell r="J650" t="str">
            <v>2073–2074</v>
          </cell>
        </row>
        <row r="651">
          <cell r="G651">
            <v>0</v>
          </cell>
          <cell r="J651" t="str">
            <v>2073–2074</v>
          </cell>
        </row>
        <row r="652">
          <cell r="G652">
            <v>0</v>
          </cell>
          <cell r="J652" t="str">
            <v>2073–2074</v>
          </cell>
        </row>
        <row r="653">
          <cell r="G653">
            <v>0</v>
          </cell>
          <cell r="J653" t="str">
            <v>2073–2074</v>
          </cell>
        </row>
        <row r="654">
          <cell r="G654">
            <v>0</v>
          </cell>
          <cell r="J654" t="str">
            <v>2073–2074</v>
          </cell>
        </row>
        <row r="655">
          <cell r="G655">
            <v>0</v>
          </cell>
          <cell r="J655" t="str">
            <v>2073–2074</v>
          </cell>
        </row>
        <row r="656">
          <cell r="G656">
            <v>0</v>
          </cell>
          <cell r="J656" t="str">
            <v>2073–2074</v>
          </cell>
        </row>
        <row r="657">
          <cell r="G657">
            <v>0</v>
          </cell>
          <cell r="J657" t="str">
            <v>2073–2074</v>
          </cell>
        </row>
        <row r="658">
          <cell r="G658">
            <v>0</v>
          </cell>
          <cell r="J658" t="str">
            <v>2073–2074</v>
          </cell>
        </row>
        <row r="659">
          <cell r="G659">
            <v>0</v>
          </cell>
          <cell r="J659" t="str">
            <v>2073–2074</v>
          </cell>
        </row>
        <row r="660">
          <cell r="G660">
            <v>0</v>
          </cell>
          <cell r="J660" t="str">
            <v>2073–2074</v>
          </cell>
        </row>
        <row r="661">
          <cell r="G661">
            <v>0</v>
          </cell>
          <cell r="J661" t="str">
            <v>2074–2075</v>
          </cell>
        </row>
        <row r="662">
          <cell r="G662">
            <v>0</v>
          </cell>
          <cell r="J662" t="str">
            <v>2074–2075</v>
          </cell>
        </row>
        <row r="663">
          <cell r="G663">
            <v>0</v>
          </cell>
          <cell r="J663" t="str">
            <v>2074–2075</v>
          </cell>
        </row>
        <row r="664">
          <cell r="G664">
            <v>0</v>
          </cell>
          <cell r="J664" t="str">
            <v>2074–2075</v>
          </cell>
        </row>
        <row r="665">
          <cell r="G665">
            <v>0</v>
          </cell>
          <cell r="J665" t="str">
            <v>2074–2075</v>
          </cell>
        </row>
        <row r="666">
          <cell r="G666">
            <v>0</v>
          </cell>
          <cell r="J666" t="str">
            <v>2074–2075</v>
          </cell>
        </row>
        <row r="667">
          <cell r="G667">
            <v>0</v>
          </cell>
          <cell r="J667" t="str">
            <v>2074–2075</v>
          </cell>
        </row>
        <row r="668">
          <cell r="G668">
            <v>0</v>
          </cell>
          <cell r="J668" t="str">
            <v>2074–2075</v>
          </cell>
        </row>
        <row r="669">
          <cell r="G669">
            <v>0</v>
          </cell>
          <cell r="J669" t="str">
            <v>2074–2075</v>
          </cell>
        </row>
        <row r="670">
          <cell r="G670">
            <v>0</v>
          </cell>
          <cell r="J670" t="str">
            <v>2074–2075</v>
          </cell>
        </row>
        <row r="671">
          <cell r="G671">
            <v>0</v>
          </cell>
          <cell r="J671" t="str">
            <v>2074–2075</v>
          </cell>
        </row>
        <row r="672">
          <cell r="G672">
            <v>0</v>
          </cell>
          <cell r="J672" t="str">
            <v>2074–2075</v>
          </cell>
        </row>
        <row r="673">
          <cell r="G673">
            <v>0</v>
          </cell>
          <cell r="J673" t="str">
            <v>2075–2076</v>
          </cell>
        </row>
        <row r="674">
          <cell r="G674">
            <v>0</v>
          </cell>
          <cell r="J674" t="str">
            <v>2075–2076</v>
          </cell>
        </row>
        <row r="675">
          <cell r="G675">
            <v>0</v>
          </cell>
          <cell r="J675" t="str">
            <v>2075–2076</v>
          </cell>
        </row>
        <row r="676">
          <cell r="G676">
            <v>0</v>
          </cell>
          <cell r="J676" t="str">
            <v>2075–2076</v>
          </cell>
        </row>
        <row r="677">
          <cell r="G677">
            <v>0</v>
          </cell>
          <cell r="J677" t="str">
            <v>2075–2076</v>
          </cell>
        </row>
        <row r="678">
          <cell r="G678">
            <v>0</v>
          </cell>
          <cell r="J678" t="str">
            <v>2075–2076</v>
          </cell>
        </row>
        <row r="679">
          <cell r="G679">
            <v>0</v>
          </cell>
          <cell r="J679" t="str">
            <v>2075–2076</v>
          </cell>
        </row>
        <row r="680">
          <cell r="G680">
            <v>0</v>
          </cell>
          <cell r="J680" t="str">
            <v>2075–2076</v>
          </cell>
        </row>
        <row r="681">
          <cell r="G681">
            <v>0</v>
          </cell>
          <cell r="J681" t="str">
            <v>2075–2076</v>
          </cell>
        </row>
        <row r="682">
          <cell r="G682">
            <v>0</v>
          </cell>
          <cell r="J682" t="str">
            <v>2075–2076</v>
          </cell>
        </row>
        <row r="683">
          <cell r="G683">
            <v>0</v>
          </cell>
          <cell r="J683" t="str">
            <v>2075–2076</v>
          </cell>
        </row>
        <row r="684">
          <cell r="G684">
            <v>0</v>
          </cell>
          <cell r="J684" t="str">
            <v>2075–2076</v>
          </cell>
        </row>
        <row r="685">
          <cell r="G685">
            <v>0</v>
          </cell>
          <cell r="J685" t="str">
            <v>2076–2077</v>
          </cell>
        </row>
        <row r="686">
          <cell r="G686">
            <v>0</v>
          </cell>
          <cell r="J686" t="str">
            <v>2076–2077</v>
          </cell>
        </row>
        <row r="687">
          <cell r="G687">
            <v>0</v>
          </cell>
          <cell r="J687" t="str">
            <v>2076–2077</v>
          </cell>
        </row>
        <row r="688">
          <cell r="G688">
            <v>0</v>
          </cell>
          <cell r="J688" t="str">
            <v>2076–2077</v>
          </cell>
        </row>
        <row r="689">
          <cell r="G689">
            <v>0</v>
          </cell>
          <cell r="J689" t="str">
            <v>2076–2077</v>
          </cell>
        </row>
        <row r="690">
          <cell r="G690">
            <v>0</v>
          </cell>
          <cell r="J690" t="str">
            <v>2076–2077</v>
          </cell>
        </row>
        <row r="691">
          <cell r="G691">
            <v>0</v>
          </cell>
          <cell r="J691" t="str">
            <v>2076–2077</v>
          </cell>
        </row>
        <row r="692">
          <cell r="G692">
            <v>0</v>
          </cell>
          <cell r="J692" t="str">
            <v>2076–2077</v>
          </cell>
        </row>
        <row r="693">
          <cell r="G693">
            <v>0</v>
          </cell>
          <cell r="J693" t="str">
            <v>2076–2077</v>
          </cell>
        </row>
        <row r="694">
          <cell r="G694">
            <v>0</v>
          </cell>
          <cell r="J694" t="str">
            <v>2076–2077</v>
          </cell>
        </row>
        <row r="695">
          <cell r="G695">
            <v>0</v>
          </cell>
          <cell r="J695" t="str">
            <v>2076–2077</v>
          </cell>
        </row>
        <row r="696">
          <cell r="G696">
            <v>0</v>
          </cell>
          <cell r="J696" t="str">
            <v>2076–2077</v>
          </cell>
        </row>
        <row r="697">
          <cell r="G697">
            <v>0</v>
          </cell>
          <cell r="J697" t="str">
            <v>2077–2078</v>
          </cell>
        </row>
        <row r="698">
          <cell r="G698">
            <v>0</v>
          </cell>
          <cell r="J698" t="str">
            <v>2077–2078</v>
          </cell>
        </row>
        <row r="699">
          <cell r="G699">
            <v>0</v>
          </cell>
          <cell r="J699" t="str">
            <v>2077–2078</v>
          </cell>
        </row>
        <row r="700">
          <cell r="G700">
            <v>0</v>
          </cell>
          <cell r="J700" t="str">
            <v>2077–2078</v>
          </cell>
        </row>
        <row r="701">
          <cell r="G701">
            <v>0</v>
          </cell>
          <cell r="J701" t="str">
            <v>2077–2078</v>
          </cell>
        </row>
        <row r="702">
          <cell r="G702">
            <v>0</v>
          </cell>
          <cell r="J702" t="str">
            <v>2077–2078</v>
          </cell>
        </row>
        <row r="703">
          <cell r="G703">
            <v>0</v>
          </cell>
          <cell r="J703" t="str">
            <v>2077–2078</v>
          </cell>
        </row>
        <row r="704">
          <cell r="G704">
            <v>0</v>
          </cell>
          <cell r="J704" t="str">
            <v>2077–2078</v>
          </cell>
        </row>
        <row r="705">
          <cell r="G705">
            <v>0</v>
          </cell>
          <cell r="J705" t="str">
            <v>2077–2078</v>
          </cell>
        </row>
        <row r="706">
          <cell r="G706">
            <v>0</v>
          </cell>
          <cell r="J706" t="str">
            <v>2077–2078</v>
          </cell>
        </row>
        <row r="707">
          <cell r="G707">
            <v>0</v>
          </cell>
          <cell r="J707" t="str">
            <v>2077–2078</v>
          </cell>
        </row>
        <row r="708">
          <cell r="G708">
            <v>0</v>
          </cell>
          <cell r="J708" t="str">
            <v>2077–2078</v>
          </cell>
        </row>
        <row r="709">
          <cell r="G709">
            <v>0</v>
          </cell>
          <cell r="J709" t="str">
            <v>2078–2079</v>
          </cell>
        </row>
        <row r="710">
          <cell r="G710">
            <v>0</v>
          </cell>
          <cell r="J710" t="str">
            <v>2078–2079</v>
          </cell>
        </row>
        <row r="711">
          <cell r="G711">
            <v>0</v>
          </cell>
          <cell r="J711" t="str">
            <v>2078–2079</v>
          </cell>
        </row>
        <row r="712">
          <cell r="G712">
            <v>0</v>
          </cell>
          <cell r="J712" t="str">
            <v>2078–2079</v>
          </cell>
        </row>
        <row r="713">
          <cell r="G713">
            <v>0</v>
          </cell>
          <cell r="J713" t="str">
            <v>2078–2079</v>
          </cell>
        </row>
        <row r="714">
          <cell r="G714">
            <v>0</v>
          </cell>
          <cell r="J714" t="str">
            <v>2078–2079</v>
          </cell>
        </row>
        <row r="715">
          <cell r="G715">
            <v>0</v>
          </cell>
          <cell r="J715" t="str">
            <v>2078–2079</v>
          </cell>
        </row>
        <row r="716">
          <cell r="G716">
            <v>0</v>
          </cell>
          <cell r="J716" t="str">
            <v>2078–2079</v>
          </cell>
        </row>
        <row r="717">
          <cell r="G717">
            <v>0</v>
          </cell>
          <cell r="J717" t="str">
            <v>2078–2079</v>
          </cell>
        </row>
        <row r="718">
          <cell r="G718">
            <v>0</v>
          </cell>
          <cell r="J718" t="str">
            <v>2078–2079</v>
          </cell>
        </row>
        <row r="719">
          <cell r="G719">
            <v>0</v>
          </cell>
          <cell r="J719" t="str">
            <v>2078–2079</v>
          </cell>
        </row>
        <row r="720">
          <cell r="G720">
            <v>0</v>
          </cell>
          <cell r="J720" t="str">
            <v>2078–2079</v>
          </cell>
        </row>
        <row r="721">
          <cell r="G721">
            <v>0</v>
          </cell>
          <cell r="J721" t="str">
            <v>2079–2080</v>
          </cell>
        </row>
        <row r="722">
          <cell r="G722">
            <v>0</v>
          </cell>
          <cell r="J722" t="str">
            <v>2079–2080</v>
          </cell>
        </row>
        <row r="723">
          <cell r="G723">
            <v>0</v>
          </cell>
          <cell r="J723" t="str">
            <v>2079–2080</v>
          </cell>
        </row>
        <row r="724">
          <cell r="G724">
            <v>0</v>
          </cell>
          <cell r="J724" t="str">
            <v>2079–2080</v>
          </cell>
        </row>
        <row r="725">
          <cell r="G725">
            <v>0</v>
          </cell>
          <cell r="J725" t="str">
            <v>2079–2080</v>
          </cell>
        </row>
        <row r="726">
          <cell r="G726">
            <v>0</v>
          </cell>
          <cell r="J726" t="str">
            <v>2079–2080</v>
          </cell>
        </row>
        <row r="727">
          <cell r="G727">
            <v>0</v>
          </cell>
          <cell r="J727" t="str">
            <v>2079–2080</v>
          </cell>
        </row>
        <row r="728">
          <cell r="G728">
            <v>0</v>
          </cell>
          <cell r="J728" t="str">
            <v>2079–2080</v>
          </cell>
        </row>
        <row r="729">
          <cell r="G729">
            <v>0</v>
          </cell>
          <cell r="J729" t="str">
            <v>2079–2080</v>
          </cell>
        </row>
        <row r="730">
          <cell r="G730">
            <v>0</v>
          </cell>
          <cell r="J730" t="str">
            <v>2079–2080</v>
          </cell>
        </row>
        <row r="731">
          <cell r="G731">
            <v>0</v>
          </cell>
          <cell r="J731" t="str">
            <v>2079–2080</v>
          </cell>
        </row>
        <row r="732">
          <cell r="G732">
            <v>0</v>
          </cell>
          <cell r="J732" t="str">
            <v>2079–2080</v>
          </cell>
        </row>
        <row r="733">
          <cell r="G733">
            <v>0</v>
          </cell>
          <cell r="J733" t="str">
            <v>2080–2081</v>
          </cell>
        </row>
        <row r="734">
          <cell r="G734">
            <v>0</v>
          </cell>
          <cell r="J734" t="str">
            <v>2080–2081</v>
          </cell>
        </row>
        <row r="735">
          <cell r="G735">
            <v>0</v>
          </cell>
          <cell r="J735" t="str">
            <v>2080–2081</v>
          </cell>
        </row>
        <row r="736">
          <cell r="G736">
            <v>0</v>
          </cell>
          <cell r="J736" t="str">
            <v>2080–2081</v>
          </cell>
        </row>
        <row r="737">
          <cell r="G737">
            <v>0</v>
          </cell>
          <cell r="J737" t="str">
            <v>2080–2081</v>
          </cell>
        </row>
        <row r="738">
          <cell r="G738">
            <v>0</v>
          </cell>
          <cell r="J738" t="str">
            <v>2080–2081</v>
          </cell>
        </row>
        <row r="739">
          <cell r="G739">
            <v>0</v>
          </cell>
          <cell r="J739" t="str">
            <v>2080–2081</v>
          </cell>
        </row>
        <row r="740">
          <cell r="G740">
            <v>0</v>
          </cell>
          <cell r="J740" t="str">
            <v>2080–2081</v>
          </cell>
        </row>
        <row r="741">
          <cell r="G741">
            <v>0</v>
          </cell>
          <cell r="J741" t="str">
            <v>2080–2081</v>
          </cell>
        </row>
        <row r="742">
          <cell r="G742">
            <v>0</v>
          </cell>
          <cell r="J742" t="str">
            <v>2080–2081</v>
          </cell>
        </row>
        <row r="743">
          <cell r="G743">
            <v>0</v>
          </cell>
          <cell r="J743" t="str">
            <v>2080–2081</v>
          </cell>
        </row>
        <row r="744">
          <cell r="G744">
            <v>0</v>
          </cell>
          <cell r="J744" t="str">
            <v>2080–2081</v>
          </cell>
        </row>
        <row r="745">
          <cell r="G745">
            <v>0</v>
          </cell>
          <cell r="J745" t="str">
            <v>2081–2082</v>
          </cell>
        </row>
        <row r="746">
          <cell r="G746">
            <v>0</v>
          </cell>
          <cell r="J746" t="str">
            <v>2081–2082</v>
          </cell>
        </row>
        <row r="747">
          <cell r="G747">
            <v>0</v>
          </cell>
          <cell r="J747" t="str">
            <v>2081–2082</v>
          </cell>
        </row>
        <row r="748">
          <cell r="G748">
            <v>0</v>
          </cell>
          <cell r="J748" t="str">
            <v>2081–2082</v>
          </cell>
        </row>
        <row r="749">
          <cell r="G749">
            <v>0</v>
          </cell>
          <cell r="J749" t="str">
            <v>2081–2082</v>
          </cell>
        </row>
        <row r="750">
          <cell r="G750">
            <v>0</v>
          </cell>
          <cell r="J750" t="str">
            <v>2081–2082</v>
          </cell>
        </row>
        <row r="751">
          <cell r="G751">
            <v>0</v>
          </cell>
          <cell r="J751" t="str">
            <v>2081–2082</v>
          </cell>
        </row>
        <row r="752">
          <cell r="G752">
            <v>0</v>
          </cell>
          <cell r="J752" t="str">
            <v>2081–2082</v>
          </cell>
        </row>
        <row r="753">
          <cell r="G753">
            <v>0</v>
          </cell>
          <cell r="J753" t="str">
            <v>2081–2082</v>
          </cell>
        </row>
        <row r="754">
          <cell r="G754">
            <v>0</v>
          </cell>
          <cell r="J754" t="str">
            <v>2081–2082</v>
          </cell>
        </row>
        <row r="755">
          <cell r="G755">
            <v>0</v>
          </cell>
          <cell r="J755" t="str">
            <v>2081–2082</v>
          </cell>
        </row>
        <row r="756">
          <cell r="G756">
            <v>0</v>
          </cell>
          <cell r="J756" t="str">
            <v>2081–2082</v>
          </cell>
        </row>
        <row r="757">
          <cell r="G757">
            <v>0</v>
          </cell>
          <cell r="J757" t="str">
            <v>2082–2083</v>
          </cell>
        </row>
        <row r="758">
          <cell r="G758">
            <v>0</v>
          </cell>
          <cell r="J758" t="str">
            <v>2082–2083</v>
          </cell>
        </row>
        <row r="759">
          <cell r="G759">
            <v>0</v>
          </cell>
          <cell r="J759" t="str">
            <v>2082–2083</v>
          </cell>
        </row>
        <row r="760">
          <cell r="G760">
            <v>0</v>
          </cell>
          <cell r="J760" t="str">
            <v>2082–2083</v>
          </cell>
        </row>
        <row r="761">
          <cell r="G761">
            <v>0</v>
          </cell>
          <cell r="J761" t="str">
            <v>2082–2083</v>
          </cell>
        </row>
        <row r="762">
          <cell r="G762">
            <v>0</v>
          </cell>
          <cell r="J762" t="str">
            <v>2082–2083</v>
          </cell>
        </row>
        <row r="763">
          <cell r="G763">
            <v>0</v>
          </cell>
          <cell r="J763" t="str">
            <v>2082–2083</v>
          </cell>
        </row>
        <row r="764">
          <cell r="G764">
            <v>0</v>
          </cell>
          <cell r="J764" t="str">
            <v>2082–2083</v>
          </cell>
        </row>
        <row r="765">
          <cell r="G765">
            <v>0</v>
          </cell>
          <cell r="J765" t="str">
            <v>2082–2083</v>
          </cell>
        </row>
        <row r="766">
          <cell r="G766">
            <v>0</v>
          </cell>
          <cell r="J766" t="str">
            <v>2082–2083</v>
          </cell>
        </row>
        <row r="767">
          <cell r="G767">
            <v>0</v>
          </cell>
          <cell r="J767" t="str">
            <v>2082–2083</v>
          </cell>
        </row>
        <row r="768">
          <cell r="G768">
            <v>0</v>
          </cell>
          <cell r="J768" t="str">
            <v>2082–2083</v>
          </cell>
        </row>
        <row r="769">
          <cell r="G769">
            <v>0</v>
          </cell>
          <cell r="J769" t="str">
            <v>2083–2084</v>
          </cell>
        </row>
        <row r="770">
          <cell r="G770">
            <v>0</v>
          </cell>
          <cell r="J770" t="str">
            <v>2083–2084</v>
          </cell>
        </row>
        <row r="771">
          <cell r="G771">
            <v>0</v>
          </cell>
          <cell r="J771" t="str">
            <v>2083–2084</v>
          </cell>
        </row>
        <row r="772">
          <cell r="G772">
            <v>0</v>
          </cell>
          <cell r="J772" t="str">
            <v>2083–2084</v>
          </cell>
        </row>
        <row r="773">
          <cell r="G773">
            <v>0</v>
          </cell>
          <cell r="J773" t="str">
            <v>2083–2084</v>
          </cell>
        </row>
        <row r="774">
          <cell r="G774">
            <v>0</v>
          </cell>
          <cell r="J774" t="str">
            <v>2083–2084</v>
          </cell>
        </row>
        <row r="775">
          <cell r="G775">
            <v>0</v>
          </cell>
          <cell r="J775" t="str">
            <v>2083–2084</v>
          </cell>
        </row>
        <row r="776">
          <cell r="G776">
            <v>0</v>
          </cell>
          <cell r="J776" t="str">
            <v>2083–2084</v>
          </cell>
        </row>
        <row r="777">
          <cell r="G777">
            <v>0</v>
          </cell>
          <cell r="J777" t="str">
            <v>2083–2084</v>
          </cell>
        </row>
        <row r="778">
          <cell r="G778">
            <v>0</v>
          </cell>
          <cell r="J778" t="str">
            <v>2083–2084</v>
          </cell>
        </row>
        <row r="779">
          <cell r="G779">
            <v>0</v>
          </cell>
          <cell r="J779" t="str">
            <v>2083–2084</v>
          </cell>
        </row>
        <row r="780">
          <cell r="G780">
            <v>0</v>
          </cell>
          <cell r="J780" t="str">
            <v>2083–2084</v>
          </cell>
        </row>
        <row r="781">
          <cell r="G781">
            <v>0</v>
          </cell>
          <cell r="J781" t="str">
            <v>2084–2085</v>
          </cell>
        </row>
        <row r="782">
          <cell r="G782">
            <v>0</v>
          </cell>
          <cell r="J782" t="str">
            <v>2084–2085</v>
          </cell>
        </row>
        <row r="783">
          <cell r="G783">
            <v>0</v>
          </cell>
          <cell r="J783" t="str">
            <v>2084–2085</v>
          </cell>
        </row>
        <row r="784">
          <cell r="G784">
            <v>0</v>
          </cell>
          <cell r="J784" t="str">
            <v>2084–2085</v>
          </cell>
        </row>
        <row r="785">
          <cell r="G785">
            <v>0</v>
          </cell>
          <cell r="J785" t="str">
            <v>2084–2085</v>
          </cell>
        </row>
        <row r="786">
          <cell r="G786">
            <v>0</v>
          </cell>
          <cell r="J786" t="str">
            <v>2084–2085</v>
          </cell>
        </row>
        <row r="787">
          <cell r="G787">
            <v>0</v>
          </cell>
          <cell r="J787" t="str">
            <v>2084–2085</v>
          </cell>
        </row>
        <row r="788">
          <cell r="G788">
            <v>0</v>
          </cell>
          <cell r="J788" t="str">
            <v>2084–2085</v>
          </cell>
        </row>
        <row r="789">
          <cell r="G789">
            <v>0</v>
          </cell>
          <cell r="J789" t="str">
            <v>2084–2085</v>
          </cell>
        </row>
        <row r="790">
          <cell r="G790">
            <v>0</v>
          </cell>
          <cell r="J790" t="str">
            <v>2084–2085</v>
          </cell>
        </row>
        <row r="791">
          <cell r="G791">
            <v>0</v>
          </cell>
          <cell r="J791" t="str">
            <v>2084–2085</v>
          </cell>
        </row>
        <row r="792">
          <cell r="G792">
            <v>0</v>
          </cell>
          <cell r="J792" t="str">
            <v>2084–2085</v>
          </cell>
        </row>
        <row r="793">
          <cell r="G793">
            <v>0</v>
          </cell>
          <cell r="J793" t="str">
            <v>2085–2086</v>
          </cell>
        </row>
        <row r="794">
          <cell r="G794">
            <v>0</v>
          </cell>
          <cell r="J794" t="str">
            <v>2085–2086</v>
          </cell>
        </row>
        <row r="795">
          <cell r="G795">
            <v>0</v>
          </cell>
          <cell r="J795" t="str">
            <v>2085–2086</v>
          </cell>
        </row>
        <row r="796">
          <cell r="G796">
            <v>0</v>
          </cell>
          <cell r="J796" t="str">
            <v>2085–2086</v>
          </cell>
        </row>
        <row r="797">
          <cell r="G797">
            <v>0</v>
          </cell>
          <cell r="J797" t="str">
            <v>2085–2086</v>
          </cell>
        </row>
        <row r="798">
          <cell r="G798">
            <v>0</v>
          </cell>
          <cell r="J798" t="str">
            <v>2085–2086</v>
          </cell>
        </row>
        <row r="799">
          <cell r="G799">
            <v>0</v>
          </cell>
          <cell r="J799" t="str">
            <v>2085–2086</v>
          </cell>
        </row>
        <row r="800">
          <cell r="G800">
            <v>0</v>
          </cell>
          <cell r="J800" t="str">
            <v>2085–2086</v>
          </cell>
        </row>
        <row r="801">
          <cell r="G801">
            <v>0</v>
          </cell>
          <cell r="J801" t="str">
            <v>2085–2086</v>
          </cell>
        </row>
        <row r="802">
          <cell r="G802">
            <v>0</v>
          </cell>
          <cell r="J802" t="str">
            <v>2085–2086</v>
          </cell>
        </row>
        <row r="803">
          <cell r="G803">
            <v>0</v>
          </cell>
          <cell r="J803" t="str">
            <v>2085–2086</v>
          </cell>
        </row>
        <row r="804">
          <cell r="G804">
            <v>0</v>
          </cell>
          <cell r="J804" t="str">
            <v>2085–2086</v>
          </cell>
        </row>
        <row r="805">
          <cell r="G805">
            <v>0</v>
          </cell>
          <cell r="J805" t="str">
            <v>2086–2087</v>
          </cell>
        </row>
        <row r="806">
          <cell r="G806">
            <v>0</v>
          </cell>
          <cell r="J806" t="str">
            <v>2086–2087</v>
          </cell>
        </row>
        <row r="807">
          <cell r="G807">
            <v>0</v>
          </cell>
          <cell r="J807" t="str">
            <v>2086–2087</v>
          </cell>
        </row>
        <row r="808">
          <cell r="G808">
            <v>0</v>
          </cell>
          <cell r="J808" t="str">
            <v>2086–2087</v>
          </cell>
        </row>
        <row r="809">
          <cell r="G809">
            <v>0</v>
          </cell>
          <cell r="J809" t="str">
            <v>2086–2087</v>
          </cell>
        </row>
        <row r="810">
          <cell r="G810">
            <v>0</v>
          </cell>
          <cell r="J810" t="str">
            <v>2086–2087</v>
          </cell>
        </row>
        <row r="811">
          <cell r="G811">
            <v>0</v>
          </cell>
          <cell r="J811" t="str">
            <v>2086–2087</v>
          </cell>
        </row>
        <row r="812">
          <cell r="G812">
            <v>0</v>
          </cell>
          <cell r="J812" t="str">
            <v>2086–2087</v>
          </cell>
        </row>
        <row r="813">
          <cell r="G813">
            <v>0</v>
          </cell>
          <cell r="J813" t="str">
            <v>2086–2087</v>
          </cell>
        </row>
        <row r="814">
          <cell r="G814">
            <v>0</v>
          </cell>
          <cell r="J814" t="str">
            <v>2086–2087</v>
          </cell>
        </row>
        <row r="815">
          <cell r="G815">
            <v>0</v>
          </cell>
          <cell r="J815" t="str">
            <v>2086–2087</v>
          </cell>
        </row>
        <row r="816">
          <cell r="G816">
            <v>0</v>
          </cell>
          <cell r="J816" t="str">
            <v>2086–2087</v>
          </cell>
        </row>
        <row r="817">
          <cell r="G817">
            <v>0</v>
          </cell>
          <cell r="J817" t="str">
            <v>2087–2088</v>
          </cell>
        </row>
        <row r="818">
          <cell r="G818">
            <v>0</v>
          </cell>
          <cell r="J818" t="str">
            <v>2087–2088</v>
          </cell>
        </row>
        <row r="819">
          <cell r="G819">
            <v>0</v>
          </cell>
          <cell r="J819" t="str">
            <v>2087–2088</v>
          </cell>
        </row>
        <row r="820">
          <cell r="G820">
            <v>0</v>
          </cell>
          <cell r="J820" t="str">
            <v>2087–2088</v>
          </cell>
        </row>
        <row r="821">
          <cell r="G821">
            <v>0</v>
          </cell>
          <cell r="J821" t="str">
            <v>2087–2088</v>
          </cell>
        </row>
        <row r="822">
          <cell r="G822">
            <v>0</v>
          </cell>
          <cell r="J822" t="str">
            <v>2087–2088</v>
          </cell>
        </row>
        <row r="823">
          <cell r="G823">
            <v>0</v>
          </cell>
          <cell r="J823" t="str">
            <v>2087–2088</v>
          </cell>
        </row>
        <row r="824">
          <cell r="G824">
            <v>0</v>
          </cell>
          <cell r="J824" t="str">
            <v>2087–2088</v>
          </cell>
        </row>
        <row r="825">
          <cell r="G825">
            <v>0</v>
          </cell>
          <cell r="J825" t="str">
            <v>2087–2088</v>
          </cell>
        </row>
        <row r="826">
          <cell r="G826">
            <v>0</v>
          </cell>
          <cell r="J826" t="str">
            <v>2087–2088</v>
          </cell>
        </row>
        <row r="827">
          <cell r="G827">
            <v>0</v>
          </cell>
          <cell r="J827" t="str">
            <v>2087–2088</v>
          </cell>
        </row>
        <row r="828">
          <cell r="G828">
            <v>0</v>
          </cell>
          <cell r="J828" t="str">
            <v>2087–2088</v>
          </cell>
        </row>
        <row r="829">
          <cell r="G829">
            <v>0</v>
          </cell>
          <cell r="J829" t="str">
            <v>2088–2089</v>
          </cell>
        </row>
        <row r="830">
          <cell r="G830">
            <v>0</v>
          </cell>
          <cell r="J830" t="str">
            <v>2088–2089</v>
          </cell>
        </row>
        <row r="831">
          <cell r="G831">
            <v>0</v>
          </cell>
          <cell r="J831" t="str">
            <v>2088–2089</v>
          </cell>
        </row>
        <row r="832">
          <cell r="G832">
            <v>0</v>
          </cell>
          <cell r="J832" t="str">
            <v>2088–2089</v>
          </cell>
        </row>
        <row r="833">
          <cell r="G833">
            <v>0</v>
          </cell>
          <cell r="J833" t="str">
            <v>2088–2089</v>
          </cell>
        </row>
        <row r="834">
          <cell r="G834">
            <v>0</v>
          </cell>
          <cell r="J834" t="str">
            <v>2088–2089</v>
          </cell>
        </row>
        <row r="835">
          <cell r="G835">
            <v>0</v>
          </cell>
          <cell r="J835" t="str">
            <v>2088–2089</v>
          </cell>
        </row>
        <row r="836">
          <cell r="G836">
            <v>0</v>
          </cell>
          <cell r="J836" t="str">
            <v>2088–2089</v>
          </cell>
        </row>
        <row r="837">
          <cell r="G837">
            <v>0</v>
          </cell>
          <cell r="J837" t="str">
            <v>2088–2089</v>
          </cell>
        </row>
        <row r="838">
          <cell r="G838">
            <v>0</v>
          </cell>
          <cell r="J838" t="str">
            <v>2088–2089</v>
          </cell>
        </row>
        <row r="839">
          <cell r="G839">
            <v>0</v>
          </cell>
          <cell r="J839" t="str">
            <v>2088–2089</v>
          </cell>
        </row>
        <row r="840">
          <cell r="G840">
            <v>0</v>
          </cell>
          <cell r="J840" t="str">
            <v>2088–2089</v>
          </cell>
        </row>
        <row r="841">
          <cell r="G841">
            <v>0</v>
          </cell>
          <cell r="J841" t="str">
            <v>2089–2090</v>
          </cell>
        </row>
        <row r="842">
          <cell r="G842">
            <v>0</v>
          </cell>
          <cell r="J842" t="str">
            <v>2089–2090</v>
          </cell>
        </row>
        <row r="843">
          <cell r="G843">
            <v>0</v>
          </cell>
          <cell r="J843" t="str">
            <v>2089–2090</v>
          </cell>
        </row>
        <row r="844">
          <cell r="G844">
            <v>0</v>
          </cell>
          <cell r="J844" t="str">
            <v>2089–2090</v>
          </cell>
        </row>
        <row r="845">
          <cell r="G845">
            <v>0</v>
          </cell>
          <cell r="J845" t="str">
            <v>2089–2090</v>
          </cell>
        </row>
        <row r="846">
          <cell r="G846">
            <v>0</v>
          </cell>
          <cell r="J846" t="str">
            <v>2089–2090</v>
          </cell>
        </row>
        <row r="847">
          <cell r="G847">
            <v>0</v>
          </cell>
          <cell r="J847" t="str">
            <v>2089–2090</v>
          </cell>
        </row>
        <row r="848">
          <cell r="G848">
            <v>0</v>
          </cell>
          <cell r="J848" t="str">
            <v>2089–2090</v>
          </cell>
        </row>
        <row r="849">
          <cell r="G849">
            <v>0</v>
          </cell>
          <cell r="J849" t="str">
            <v>2089–2090</v>
          </cell>
        </row>
        <row r="850">
          <cell r="G850">
            <v>0</v>
          </cell>
          <cell r="J850" t="str">
            <v>2089–2090</v>
          </cell>
        </row>
        <row r="851">
          <cell r="G851">
            <v>0</v>
          </cell>
          <cell r="J851" t="str">
            <v>2089–2090</v>
          </cell>
        </row>
        <row r="852">
          <cell r="G852">
            <v>0</v>
          </cell>
          <cell r="J852" t="str">
            <v>2089–2090</v>
          </cell>
        </row>
        <row r="853">
          <cell r="G853">
            <v>0</v>
          </cell>
          <cell r="J853" t="str">
            <v>2090–2091</v>
          </cell>
        </row>
        <row r="854">
          <cell r="G854">
            <v>0</v>
          </cell>
          <cell r="J854" t="str">
            <v>2090–2091</v>
          </cell>
        </row>
        <row r="855">
          <cell r="G855">
            <v>0</v>
          </cell>
          <cell r="J855" t="str">
            <v>2090–2091</v>
          </cell>
        </row>
        <row r="856">
          <cell r="G856">
            <v>0</v>
          </cell>
          <cell r="J856" t="str">
            <v>2090–2091</v>
          </cell>
        </row>
        <row r="857">
          <cell r="G857">
            <v>0</v>
          </cell>
          <cell r="J857" t="str">
            <v>2090–2091</v>
          </cell>
        </row>
        <row r="858">
          <cell r="G858">
            <v>0</v>
          </cell>
          <cell r="J858" t="str">
            <v>2090–2091</v>
          </cell>
        </row>
        <row r="859">
          <cell r="G859">
            <v>0</v>
          </cell>
          <cell r="J859" t="str">
            <v>2090–2091</v>
          </cell>
        </row>
        <row r="860">
          <cell r="G860">
            <v>0</v>
          </cell>
          <cell r="J860" t="str">
            <v>2090–2091</v>
          </cell>
        </row>
        <row r="861">
          <cell r="G861">
            <v>0</v>
          </cell>
          <cell r="J861" t="str">
            <v>2090–2091</v>
          </cell>
        </row>
        <row r="862">
          <cell r="G862">
            <v>0</v>
          </cell>
          <cell r="J862" t="str">
            <v>2090–2091</v>
          </cell>
        </row>
        <row r="863">
          <cell r="G863">
            <v>0</v>
          </cell>
          <cell r="J863" t="str">
            <v>2090–2091</v>
          </cell>
        </row>
        <row r="864">
          <cell r="G864">
            <v>0</v>
          </cell>
          <cell r="J864" t="str">
            <v>2090–2091</v>
          </cell>
        </row>
        <row r="865">
          <cell r="G865">
            <v>0</v>
          </cell>
          <cell r="J865" t="str">
            <v>2091–2092</v>
          </cell>
        </row>
        <row r="866">
          <cell r="G866">
            <v>0</v>
          </cell>
          <cell r="J866" t="str">
            <v>2091–2092</v>
          </cell>
        </row>
        <row r="867">
          <cell r="G867">
            <v>0</v>
          </cell>
          <cell r="J867" t="str">
            <v>2091–2092</v>
          </cell>
        </row>
        <row r="868">
          <cell r="G868">
            <v>0</v>
          </cell>
          <cell r="J868" t="str">
            <v>2091–2092</v>
          </cell>
        </row>
        <row r="869">
          <cell r="G869">
            <v>0</v>
          </cell>
          <cell r="J869" t="str">
            <v>2091–2092</v>
          </cell>
        </row>
        <row r="870">
          <cell r="G870">
            <v>0</v>
          </cell>
          <cell r="J870" t="str">
            <v>2091–2092</v>
          </cell>
        </row>
        <row r="871">
          <cell r="G871">
            <v>0</v>
          </cell>
          <cell r="J871" t="str">
            <v>2091–2092</v>
          </cell>
        </row>
        <row r="872">
          <cell r="G872">
            <v>0</v>
          </cell>
          <cell r="J872" t="str">
            <v>2091–2092</v>
          </cell>
        </row>
        <row r="873">
          <cell r="G873">
            <v>0</v>
          </cell>
          <cell r="J873" t="str">
            <v>2091–2092</v>
          </cell>
        </row>
        <row r="874">
          <cell r="G874">
            <v>0</v>
          </cell>
          <cell r="J874" t="str">
            <v>2091–2092</v>
          </cell>
        </row>
        <row r="875">
          <cell r="G875">
            <v>0</v>
          </cell>
          <cell r="J875" t="str">
            <v>2091–2092</v>
          </cell>
        </row>
        <row r="876">
          <cell r="G876">
            <v>0</v>
          </cell>
          <cell r="J876" t="str">
            <v>2091–2092</v>
          </cell>
        </row>
        <row r="877">
          <cell r="G877">
            <v>0</v>
          </cell>
          <cell r="J877" t="str">
            <v>2092–2093</v>
          </cell>
        </row>
        <row r="878">
          <cell r="G878">
            <v>0</v>
          </cell>
          <cell r="J878" t="str">
            <v>2092–2093</v>
          </cell>
        </row>
        <row r="879">
          <cell r="G879">
            <v>0</v>
          </cell>
          <cell r="J879" t="str">
            <v>2092–2093</v>
          </cell>
        </row>
        <row r="880">
          <cell r="G880">
            <v>0</v>
          </cell>
          <cell r="J880" t="str">
            <v>2092–2093</v>
          </cell>
        </row>
        <row r="881">
          <cell r="G881">
            <v>0</v>
          </cell>
          <cell r="J881" t="str">
            <v>2092–2093</v>
          </cell>
        </row>
        <row r="882">
          <cell r="G882">
            <v>0</v>
          </cell>
          <cell r="J882" t="str">
            <v>2092–2093</v>
          </cell>
        </row>
        <row r="883">
          <cell r="G883">
            <v>0</v>
          </cell>
          <cell r="J883" t="str">
            <v>2092–2093</v>
          </cell>
        </row>
        <row r="884">
          <cell r="G884">
            <v>0</v>
          </cell>
          <cell r="J884" t="str">
            <v>2092–2093</v>
          </cell>
        </row>
        <row r="885">
          <cell r="G885">
            <v>0</v>
          </cell>
          <cell r="J885" t="str">
            <v>2092–2093</v>
          </cell>
        </row>
        <row r="886">
          <cell r="G886">
            <v>0</v>
          </cell>
          <cell r="J886" t="str">
            <v>2092–2093</v>
          </cell>
        </row>
        <row r="887">
          <cell r="G887">
            <v>0</v>
          </cell>
          <cell r="J887" t="str">
            <v>2092–2093</v>
          </cell>
        </row>
        <row r="888">
          <cell r="G888">
            <v>0</v>
          </cell>
          <cell r="J888" t="str">
            <v>2092–2093</v>
          </cell>
        </row>
        <row r="889">
          <cell r="G889">
            <v>0</v>
          </cell>
          <cell r="J889" t="str">
            <v>2093–2094</v>
          </cell>
        </row>
        <row r="890">
          <cell r="G890">
            <v>0</v>
          </cell>
          <cell r="J890" t="str">
            <v>2093–2094</v>
          </cell>
        </row>
        <row r="891">
          <cell r="G891">
            <v>0</v>
          </cell>
          <cell r="J891" t="str">
            <v>2093–2094</v>
          </cell>
        </row>
        <row r="892">
          <cell r="G892">
            <v>0</v>
          </cell>
          <cell r="J892" t="str">
            <v>2093–2094</v>
          </cell>
        </row>
        <row r="893">
          <cell r="G893">
            <v>0</v>
          </cell>
          <cell r="J893" t="str">
            <v>2093–2094</v>
          </cell>
        </row>
        <row r="894">
          <cell r="G894">
            <v>0</v>
          </cell>
          <cell r="J894" t="str">
            <v>2093–2094</v>
          </cell>
        </row>
        <row r="895">
          <cell r="G895">
            <v>0</v>
          </cell>
          <cell r="J895" t="str">
            <v>2093–2094</v>
          </cell>
        </row>
        <row r="896">
          <cell r="G896">
            <v>0</v>
          </cell>
          <cell r="J896" t="str">
            <v>2093–2094</v>
          </cell>
        </row>
        <row r="897">
          <cell r="G897">
            <v>0</v>
          </cell>
          <cell r="J897" t="str">
            <v>2093–2094</v>
          </cell>
        </row>
        <row r="898">
          <cell r="G898">
            <v>0</v>
          </cell>
          <cell r="J898" t="str">
            <v>2093–2094</v>
          </cell>
        </row>
        <row r="899">
          <cell r="G899">
            <v>0</v>
          </cell>
          <cell r="J899" t="str">
            <v>2093–2094</v>
          </cell>
        </row>
        <row r="900">
          <cell r="G900">
            <v>0</v>
          </cell>
          <cell r="J900" t="str">
            <v>2093–2094</v>
          </cell>
        </row>
        <row r="901">
          <cell r="G901">
            <v>0</v>
          </cell>
          <cell r="J901" t="str">
            <v>2094–2095</v>
          </cell>
        </row>
        <row r="902">
          <cell r="G902">
            <v>0</v>
          </cell>
          <cell r="J902" t="str">
            <v>2094–2095</v>
          </cell>
        </row>
        <row r="903">
          <cell r="G903">
            <v>0</v>
          </cell>
          <cell r="J903" t="str">
            <v>2094–2095</v>
          </cell>
        </row>
        <row r="904">
          <cell r="G904">
            <v>0</v>
          </cell>
          <cell r="J904" t="str">
            <v>2094–2095</v>
          </cell>
        </row>
        <row r="905">
          <cell r="G905">
            <v>0</v>
          </cell>
          <cell r="J905" t="str">
            <v>2094–2095</v>
          </cell>
        </row>
        <row r="906">
          <cell r="G906">
            <v>0</v>
          </cell>
          <cell r="J906" t="str">
            <v>2094–2095</v>
          </cell>
        </row>
        <row r="907">
          <cell r="G907">
            <v>0</v>
          </cell>
          <cell r="J907" t="str">
            <v>2094–2095</v>
          </cell>
        </row>
        <row r="908">
          <cell r="G908">
            <v>0</v>
          </cell>
          <cell r="J908" t="str">
            <v>2094–2095</v>
          </cell>
        </row>
        <row r="909">
          <cell r="G909">
            <v>0</v>
          </cell>
          <cell r="J909" t="str">
            <v>2094–2095</v>
          </cell>
        </row>
        <row r="910">
          <cell r="G910">
            <v>0</v>
          </cell>
          <cell r="J910" t="str">
            <v>2094–2095</v>
          </cell>
        </row>
        <row r="911">
          <cell r="G911">
            <v>0</v>
          </cell>
          <cell r="J911" t="str">
            <v>2094–2095</v>
          </cell>
        </row>
        <row r="912">
          <cell r="G912">
            <v>0</v>
          </cell>
          <cell r="J912" t="str">
            <v>2094–2095</v>
          </cell>
        </row>
        <row r="913">
          <cell r="G913">
            <v>0</v>
          </cell>
          <cell r="J913" t="str">
            <v>2095–2096</v>
          </cell>
        </row>
        <row r="914">
          <cell r="G914">
            <v>0</v>
          </cell>
          <cell r="J914" t="str">
            <v>2095–2096</v>
          </cell>
        </row>
        <row r="915">
          <cell r="G915">
            <v>0</v>
          </cell>
          <cell r="J915" t="str">
            <v>2095–2096</v>
          </cell>
        </row>
        <row r="916">
          <cell r="G916">
            <v>0</v>
          </cell>
          <cell r="J916" t="str">
            <v>2095–2096</v>
          </cell>
        </row>
        <row r="917">
          <cell r="G917">
            <v>0</v>
          </cell>
          <cell r="J917" t="str">
            <v>2095–2096</v>
          </cell>
        </row>
        <row r="918">
          <cell r="G918">
            <v>0</v>
          </cell>
          <cell r="J918" t="str">
            <v>2095–2096</v>
          </cell>
        </row>
        <row r="919">
          <cell r="G919">
            <v>0</v>
          </cell>
          <cell r="J919" t="str">
            <v>2095–2096</v>
          </cell>
        </row>
        <row r="920">
          <cell r="G920">
            <v>0</v>
          </cell>
          <cell r="J920" t="str">
            <v>2095–2096</v>
          </cell>
        </row>
        <row r="921">
          <cell r="G921">
            <v>0</v>
          </cell>
          <cell r="J921" t="str">
            <v>2095–2096</v>
          </cell>
        </row>
        <row r="922">
          <cell r="G922">
            <v>0</v>
          </cell>
          <cell r="J922" t="str">
            <v>2095–2096</v>
          </cell>
        </row>
        <row r="923">
          <cell r="G923">
            <v>0</v>
          </cell>
          <cell r="J923" t="str">
            <v>2095–2096</v>
          </cell>
        </row>
        <row r="924">
          <cell r="G924">
            <v>0</v>
          </cell>
          <cell r="J924" t="str">
            <v>2095–2096</v>
          </cell>
        </row>
        <row r="925">
          <cell r="G925">
            <v>0</v>
          </cell>
          <cell r="J925" t="str">
            <v>2096–2097</v>
          </cell>
        </row>
        <row r="926">
          <cell r="G926">
            <v>0</v>
          </cell>
          <cell r="J926" t="str">
            <v>2096–2097</v>
          </cell>
        </row>
        <row r="927">
          <cell r="G927">
            <v>0</v>
          </cell>
          <cell r="J927" t="str">
            <v>2096–2097</v>
          </cell>
        </row>
        <row r="928">
          <cell r="G928">
            <v>0</v>
          </cell>
          <cell r="J928" t="str">
            <v>2096–2097</v>
          </cell>
        </row>
        <row r="929">
          <cell r="G929">
            <v>0</v>
          </cell>
          <cell r="J929" t="str">
            <v>2096–2097</v>
          </cell>
        </row>
        <row r="930">
          <cell r="G930">
            <v>0</v>
          </cell>
          <cell r="J930" t="str">
            <v>2096–2097</v>
          </cell>
        </row>
        <row r="931">
          <cell r="G931">
            <v>0</v>
          </cell>
          <cell r="J931" t="str">
            <v>2096–2097</v>
          </cell>
        </row>
        <row r="932">
          <cell r="G932">
            <v>0</v>
          </cell>
          <cell r="J932" t="str">
            <v>2096–2097</v>
          </cell>
        </row>
        <row r="933">
          <cell r="G933">
            <v>0</v>
          </cell>
          <cell r="J933" t="str">
            <v>2096–2097</v>
          </cell>
        </row>
        <row r="934">
          <cell r="G934">
            <v>0</v>
          </cell>
          <cell r="J934" t="str">
            <v>2096–2097</v>
          </cell>
        </row>
        <row r="935">
          <cell r="G935">
            <v>0</v>
          </cell>
          <cell r="J935" t="str">
            <v>2096–2097</v>
          </cell>
        </row>
        <row r="936">
          <cell r="G936">
            <v>0</v>
          </cell>
          <cell r="J936" t="str">
            <v>2096–2097</v>
          </cell>
        </row>
        <row r="937">
          <cell r="G937">
            <v>0</v>
          </cell>
          <cell r="J937" t="str">
            <v>2097–2098</v>
          </cell>
        </row>
        <row r="938">
          <cell r="G938">
            <v>0</v>
          </cell>
          <cell r="J938" t="str">
            <v>2097–2098</v>
          </cell>
        </row>
        <row r="939">
          <cell r="G939">
            <v>0</v>
          </cell>
          <cell r="J939" t="str">
            <v>2097–2098</v>
          </cell>
        </row>
        <row r="940">
          <cell r="G940">
            <v>0</v>
          </cell>
          <cell r="J940" t="str">
            <v>2097–2098</v>
          </cell>
        </row>
        <row r="941">
          <cell r="G941">
            <v>0</v>
          </cell>
          <cell r="J941" t="str">
            <v>2097–2098</v>
          </cell>
        </row>
        <row r="942">
          <cell r="G942">
            <v>0</v>
          </cell>
          <cell r="J942" t="str">
            <v>2097–2098</v>
          </cell>
        </row>
        <row r="943">
          <cell r="G943">
            <v>0</v>
          </cell>
          <cell r="J943" t="str">
            <v>2097–2098</v>
          </cell>
        </row>
        <row r="944">
          <cell r="G944">
            <v>0</v>
          </cell>
          <cell r="J944" t="str">
            <v>2097–2098</v>
          </cell>
        </row>
        <row r="945">
          <cell r="G945">
            <v>0</v>
          </cell>
          <cell r="J945" t="str">
            <v>2097–2098</v>
          </cell>
        </row>
        <row r="946">
          <cell r="G946">
            <v>0</v>
          </cell>
          <cell r="J946" t="str">
            <v>2097–2098</v>
          </cell>
        </row>
        <row r="947">
          <cell r="G947">
            <v>0</v>
          </cell>
          <cell r="J947" t="str">
            <v>2097–2098</v>
          </cell>
        </row>
        <row r="948">
          <cell r="G948">
            <v>0</v>
          </cell>
          <cell r="J948" t="str">
            <v>2097–2098</v>
          </cell>
        </row>
        <row r="949">
          <cell r="G949">
            <v>0</v>
          </cell>
          <cell r="J949" t="str">
            <v>2098–2099</v>
          </cell>
        </row>
        <row r="950">
          <cell r="G950">
            <v>0</v>
          </cell>
          <cell r="J950" t="str">
            <v>2098–2099</v>
          </cell>
        </row>
        <row r="951">
          <cell r="G951">
            <v>0</v>
          </cell>
          <cell r="J951" t="str">
            <v>2098–2099</v>
          </cell>
        </row>
        <row r="952">
          <cell r="G952">
            <v>0</v>
          </cell>
          <cell r="J952" t="str">
            <v>2098–2099</v>
          </cell>
        </row>
        <row r="953">
          <cell r="G953">
            <v>0</v>
          </cell>
          <cell r="J953" t="str">
            <v>2098–2099</v>
          </cell>
        </row>
        <row r="954">
          <cell r="G954">
            <v>0</v>
          </cell>
          <cell r="J954" t="str">
            <v>2098–2099</v>
          </cell>
        </row>
        <row r="955">
          <cell r="G955">
            <v>0</v>
          </cell>
          <cell r="J955" t="str">
            <v>2098–2099</v>
          </cell>
        </row>
        <row r="956">
          <cell r="G956">
            <v>0</v>
          </cell>
          <cell r="J956" t="str">
            <v>2098–2099</v>
          </cell>
        </row>
        <row r="957">
          <cell r="G957">
            <v>0</v>
          </cell>
          <cell r="J957" t="str">
            <v>2098–2099</v>
          </cell>
        </row>
        <row r="958">
          <cell r="G958">
            <v>0</v>
          </cell>
          <cell r="J958" t="str">
            <v>2098–2099</v>
          </cell>
        </row>
        <row r="959">
          <cell r="G959">
            <v>0</v>
          </cell>
          <cell r="J959" t="str">
            <v>2098–2099</v>
          </cell>
        </row>
        <row r="960">
          <cell r="G960">
            <v>0</v>
          </cell>
          <cell r="J960" t="str">
            <v>2098–2099</v>
          </cell>
        </row>
        <row r="961">
          <cell r="G961">
            <v>0</v>
          </cell>
          <cell r="J961" t="str">
            <v>2099–2100</v>
          </cell>
        </row>
        <row r="962">
          <cell r="G962">
            <v>0</v>
          </cell>
          <cell r="J962" t="str">
            <v>2099–2100</v>
          </cell>
        </row>
        <row r="963">
          <cell r="G963">
            <v>0</v>
          </cell>
          <cell r="J963" t="str">
            <v>2099–2100</v>
          </cell>
        </row>
        <row r="964">
          <cell r="G964">
            <v>0</v>
          </cell>
          <cell r="J964" t="str">
            <v>2099–2100</v>
          </cell>
        </row>
        <row r="965">
          <cell r="G965">
            <v>0</v>
          </cell>
          <cell r="J965" t="str">
            <v>2099–2100</v>
          </cell>
        </row>
        <row r="966">
          <cell r="G966">
            <v>0</v>
          </cell>
          <cell r="J966" t="str">
            <v>2099–2100</v>
          </cell>
        </row>
        <row r="967">
          <cell r="G967">
            <v>0</v>
          </cell>
          <cell r="J967" t="str">
            <v>2099–2100</v>
          </cell>
        </row>
        <row r="968">
          <cell r="G968">
            <v>0</v>
          </cell>
          <cell r="J968" t="str">
            <v>2099–2100</v>
          </cell>
        </row>
        <row r="969">
          <cell r="G969">
            <v>0</v>
          </cell>
          <cell r="J969" t="str">
            <v>2099–2100</v>
          </cell>
        </row>
        <row r="970">
          <cell r="G970">
            <v>0</v>
          </cell>
          <cell r="J970" t="str">
            <v>2099–2100</v>
          </cell>
        </row>
        <row r="971">
          <cell r="G971">
            <v>0</v>
          </cell>
          <cell r="J971" t="str">
            <v>2099–2100</v>
          </cell>
        </row>
        <row r="972">
          <cell r="G972">
            <v>0</v>
          </cell>
          <cell r="J972" t="str">
            <v>2099–2100</v>
          </cell>
        </row>
        <row r="973">
          <cell r="G973">
            <v>0</v>
          </cell>
          <cell r="J973" t="str">
            <v>2100–2101</v>
          </cell>
        </row>
        <row r="974">
          <cell r="G974">
            <v>0</v>
          </cell>
          <cell r="J974" t="str">
            <v>2100–2101</v>
          </cell>
        </row>
        <row r="975">
          <cell r="G975">
            <v>0</v>
          </cell>
          <cell r="J975" t="str">
            <v>2100–2101</v>
          </cell>
        </row>
        <row r="976">
          <cell r="G976">
            <v>0</v>
          </cell>
          <cell r="J976" t="str">
            <v>2100–2101</v>
          </cell>
        </row>
        <row r="977">
          <cell r="G977">
            <v>0</v>
          </cell>
          <cell r="J977" t="str">
            <v>2100–2101</v>
          </cell>
        </row>
        <row r="978">
          <cell r="G978">
            <v>0</v>
          </cell>
          <cell r="J978" t="str">
            <v>2100–2101</v>
          </cell>
        </row>
        <row r="979">
          <cell r="G979">
            <v>0</v>
          </cell>
          <cell r="J979" t="str">
            <v>2100–2101</v>
          </cell>
        </row>
        <row r="980">
          <cell r="G980">
            <v>0</v>
          </cell>
          <cell r="J980" t="str">
            <v>2100–2101</v>
          </cell>
        </row>
        <row r="981">
          <cell r="G981">
            <v>0</v>
          </cell>
          <cell r="J981" t="str">
            <v>2100–2101</v>
          </cell>
        </row>
        <row r="982">
          <cell r="G982">
            <v>0</v>
          </cell>
          <cell r="J982" t="str">
            <v>2100–2101</v>
          </cell>
        </row>
        <row r="983">
          <cell r="G983">
            <v>0</v>
          </cell>
          <cell r="J983" t="str">
            <v>2100–2101</v>
          </cell>
        </row>
        <row r="984">
          <cell r="G984">
            <v>0</v>
          </cell>
          <cell r="J984" t="str">
            <v>2100–2101</v>
          </cell>
        </row>
        <row r="985">
          <cell r="G985">
            <v>0</v>
          </cell>
          <cell r="J985" t="str">
            <v>2101–2102</v>
          </cell>
        </row>
        <row r="986">
          <cell r="G986">
            <v>0</v>
          </cell>
          <cell r="J986" t="str">
            <v>2101–2102</v>
          </cell>
        </row>
        <row r="987">
          <cell r="G987">
            <v>0</v>
          </cell>
          <cell r="J987" t="str">
            <v>2101–2102</v>
          </cell>
        </row>
        <row r="988">
          <cell r="G988">
            <v>0</v>
          </cell>
          <cell r="J988" t="str">
            <v>2101–2102</v>
          </cell>
        </row>
        <row r="989">
          <cell r="G989">
            <v>0</v>
          </cell>
          <cell r="J989" t="str">
            <v>2101–2102</v>
          </cell>
        </row>
        <row r="990">
          <cell r="G990">
            <v>0</v>
          </cell>
          <cell r="J990" t="str">
            <v>2101–2102</v>
          </cell>
        </row>
        <row r="991">
          <cell r="G991">
            <v>0</v>
          </cell>
          <cell r="J991" t="str">
            <v>2101–2102</v>
          </cell>
        </row>
        <row r="992">
          <cell r="G992">
            <v>0</v>
          </cell>
          <cell r="J992" t="str">
            <v>2101–2102</v>
          </cell>
        </row>
        <row r="993">
          <cell r="G993">
            <v>0</v>
          </cell>
          <cell r="J993" t="str">
            <v>2101–2102</v>
          </cell>
        </row>
        <row r="994">
          <cell r="G994">
            <v>0</v>
          </cell>
          <cell r="J994" t="str">
            <v>2101–2102</v>
          </cell>
        </row>
        <row r="995">
          <cell r="G995">
            <v>0</v>
          </cell>
          <cell r="J995" t="str">
            <v>2101–2102</v>
          </cell>
        </row>
        <row r="996">
          <cell r="G996">
            <v>0</v>
          </cell>
          <cell r="J996" t="str">
            <v>2101–2102</v>
          </cell>
        </row>
        <row r="997">
          <cell r="G997">
            <v>0</v>
          </cell>
          <cell r="J997" t="str">
            <v>2102–2103</v>
          </cell>
        </row>
        <row r="998">
          <cell r="G998">
            <v>0</v>
          </cell>
          <cell r="J998" t="str">
            <v>2102–2103</v>
          </cell>
        </row>
        <row r="999">
          <cell r="G999">
            <v>0</v>
          </cell>
          <cell r="J999" t="str">
            <v>2102–2103</v>
          </cell>
        </row>
        <row r="1000">
          <cell r="G1000">
            <v>0</v>
          </cell>
          <cell r="J1000" t="str">
            <v>2102–2103</v>
          </cell>
        </row>
        <row r="1001">
          <cell r="G1001">
            <v>0</v>
          </cell>
          <cell r="J1001" t="str">
            <v>2102–2103</v>
          </cell>
        </row>
        <row r="1002">
          <cell r="G1002">
            <v>0</v>
          </cell>
          <cell r="J1002" t="str">
            <v>2102–2103</v>
          </cell>
        </row>
        <row r="1003">
          <cell r="G1003">
            <v>0</v>
          </cell>
          <cell r="J1003" t="str">
            <v>2102–2103</v>
          </cell>
        </row>
        <row r="1004">
          <cell r="G1004">
            <v>0</v>
          </cell>
          <cell r="J1004" t="str">
            <v>2102–2103</v>
          </cell>
        </row>
        <row r="1005">
          <cell r="G1005">
            <v>0</v>
          </cell>
          <cell r="J1005" t="str">
            <v>2102–2103</v>
          </cell>
        </row>
        <row r="1006">
          <cell r="G1006">
            <v>0</v>
          </cell>
          <cell r="J1006" t="str">
            <v>2102–2103</v>
          </cell>
        </row>
        <row r="1007">
          <cell r="G1007">
            <v>0</v>
          </cell>
          <cell r="J1007" t="str">
            <v>2102–2103</v>
          </cell>
        </row>
        <row r="1008">
          <cell r="G1008">
            <v>0</v>
          </cell>
          <cell r="J1008" t="str">
            <v>2102–2103</v>
          </cell>
        </row>
        <row r="1009">
          <cell r="G1009">
            <v>0</v>
          </cell>
          <cell r="J1009" t="str">
            <v>2103–2104</v>
          </cell>
        </row>
        <row r="1010">
          <cell r="G1010">
            <v>0</v>
          </cell>
          <cell r="J1010" t="str">
            <v>2103–2104</v>
          </cell>
        </row>
        <row r="1011">
          <cell r="G1011">
            <v>0</v>
          </cell>
          <cell r="J1011" t="str">
            <v>2103–2104</v>
          </cell>
        </row>
        <row r="1012">
          <cell r="G1012">
            <v>0</v>
          </cell>
          <cell r="J1012" t="str">
            <v>2103–2104</v>
          </cell>
        </row>
        <row r="1013">
          <cell r="G1013">
            <v>0</v>
          </cell>
          <cell r="J1013" t="str">
            <v>2103–2104</v>
          </cell>
        </row>
        <row r="1014">
          <cell r="G1014">
            <v>0</v>
          </cell>
          <cell r="J1014" t="str">
            <v>2103–2104</v>
          </cell>
        </row>
        <row r="1015">
          <cell r="G1015">
            <v>0</v>
          </cell>
          <cell r="J1015" t="str">
            <v>2103–2104</v>
          </cell>
        </row>
        <row r="1016">
          <cell r="G1016">
            <v>0</v>
          </cell>
          <cell r="J1016" t="str">
            <v>2103–2104</v>
          </cell>
        </row>
        <row r="1017">
          <cell r="G1017">
            <v>0</v>
          </cell>
          <cell r="J1017" t="str">
            <v>2103–2104</v>
          </cell>
        </row>
        <row r="1018">
          <cell r="G1018">
            <v>0</v>
          </cell>
          <cell r="J1018" t="str">
            <v>2103–2104</v>
          </cell>
        </row>
        <row r="1019">
          <cell r="G1019">
            <v>0</v>
          </cell>
          <cell r="J1019" t="str">
            <v>2103–2104</v>
          </cell>
        </row>
        <row r="1020">
          <cell r="G1020">
            <v>0</v>
          </cell>
          <cell r="J1020" t="str">
            <v>2103–2104</v>
          </cell>
        </row>
        <row r="1021">
          <cell r="G1021">
            <v>0</v>
          </cell>
          <cell r="J1021" t="str">
            <v>2104–2105</v>
          </cell>
        </row>
        <row r="1022">
          <cell r="G1022">
            <v>0</v>
          </cell>
          <cell r="J1022" t="str">
            <v>2104–2105</v>
          </cell>
        </row>
        <row r="1023">
          <cell r="G1023">
            <v>0</v>
          </cell>
          <cell r="J1023" t="str">
            <v>2104–2105</v>
          </cell>
        </row>
        <row r="1024">
          <cell r="G1024">
            <v>0</v>
          </cell>
          <cell r="J1024" t="str">
            <v>2104–2105</v>
          </cell>
        </row>
        <row r="1025">
          <cell r="G1025">
            <v>0</v>
          </cell>
          <cell r="J1025" t="str">
            <v>2104–2105</v>
          </cell>
        </row>
        <row r="1026">
          <cell r="G1026">
            <v>0</v>
          </cell>
          <cell r="J1026" t="str">
            <v>2104–2105</v>
          </cell>
        </row>
        <row r="1027">
          <cell r="G1027">
            <v>0</v>
          </cell>
          <cell r="J1027" t="str">
            <v>2104–2105</v>
          </cell>
        </row>
        <row r="1028">
          <cell r="G1028">
            <v>0</v>
          </cell>
          <cell r="J1028" t="str">
            <v>2104–2105</v>
          </cell>
        </row>
        <row r="1029">
          <cell r="G1029">
            <v>0</v>
          </cell>
          <cell r="J1029" t="str">
            <v>2104–2105</v>
          </cell>
        </row>
        <row r="1030">
          <cell r="G1030">
            <v>0</v>
          </cell>
          <cell r="J1030" t="str">
            <v>2104–2105</v>
          </cell>
        </row>
        <row r="1031">
          <cell r="G1031">
            <v>0</v>
          </cell>
          <cell r="J1031" t="str">
            <v>2104–2105</v>
          </cell>
        </row>
        <row r="1032">
          <cell r="G1032">
            <v>0</v>
          </cell>
          <cell r="J1032" t="str">
            <v>2104–2105</v>
          </cell>
        </row>
        <row r="1033">
          <cell r="G1033">
            <v>0</v>
          </cell>
          <cell r="J1033" t="str">
            <v>2105–2106</v>
          </cell>
        </row>
        <row r="1034">
          <cell r="G1034">
            <v>0</v>
          </cell>
          <cell r="J1034" t="str">
            <v>2105–2106</v>
          </cell>
        </row>
        <row r="1035">
          <cell r="G1035">
            <v>0</v>
          </cell>
          <cell r="J1035" t="str">
            <v>2105–2106</v>
          </cell>
        </row>
        <row r="1036">
          <cell r="G1036">
            <v>0</v>
          </cell>
          <cell r="J1036" t="str">
            <v>2105–2106</v>
          </cell>
        </row>
        <row r="1037">
          <cell r="G1037">
            <v>0</v>
          </cell>
          <cell r="J1037" t="str">
            <v>2105–2106</v>
          </cell>
        </row>
        <row r="1038">
          <cell r="G1038">
            <v>0</v>
          </cell>
          <cell r="J1038" t="str">
            <v>2105–2106</v>
          </cell>
        </row>
        <row r="1039">
          <cell r="G1039">
            <v>0</v>
          </cell>
          <cell r="J1039" t="str">
            <v>2105–2106</v>
          </cell>
        </row>
        <row r="1040">
          <cell r="G1040">
            <v>0</v>
          </cell>
          <cell r="J1040" t="str">
            <v>2105–2106</v>
          </cell>
        </row>
        <row r="1041">
          <cell r="G1041">
            <v>0</v>
          </cell>
          <cell r="J1041" t="str">
            <v>2105–2106</v>
          </cell>
        </row>
        <row r="1042">
          <cell r="G1042">
            <v>0</v>
          </cell>
          <cell r="J1042" t="str">
            <v>2105–2106</v>
          </cell>
        </row>
        <row r="1043">
          <cell r="G1043">
            <v>0</v>
          </cell>
          <cell r="J1043" t="str">
            <v>2105–2106</v>
          </cell>
        </row>
        <row r="1044">
          <cell r="G1044">
            <v>0</v>
          </cell>
          <cell r="J1044" t="str">
            <v>2105–2106</v>
          </cell>
        </row>
        <row r="1045">
          <cell r="G1045">
            <v>0</v>
          </cell>
          <cell r="J1045" t="str">
            <v>2106–2107</v>
          </cell>
        </row>
        <row r="1046">
          <cell r="G1046">
            <v>0</v>
          </cell>
          <cell r="J1046" t="str">
            <v>2106–2107</v>
          </cell>
        </row>
        <row r="1047">
          <cell r="G1047">
            <v>0</v>
          </cell>
          <cell r="J1047" t="str">
            <v>2106–2107</v>
          </cell>
        </row>
        <row r="1048">
          <cell r="G1048">
            <v>0</v>
          </cell>
          <cell r="J1048" t="str">
            <v>2106–2107</v>
          </cell>
        </row>
        <row r="1049">
          <cell r="G1049">
            <v>0</v>
          </cell>
          <cell r="J1049" t="str">
            <v>2106–2107</v>
          </cell>
        </row>
        <row r="1050">
          <cell r="G1050">
            <v>0</v>
          </cell>
          <cell r="J1050" t="str">
            <v>2106–2107</v>
          </cell>
        </row>
        <row r="1051">
          <cell r="G1051">
            <v>0</v>
          </cell>
          <cell r="J1051" t="str">
            <v>2106–2107</v>
          </cell>
        </row>
        <row r="1052">
          <cell r="G1052">
            <v>0</v>
          </cell>
          <cell r="J1052" t="str">
            <v>2106–2107</v>
          </cell>
        </row>
        <row r="1053">
          <cell r="G1053">
            <v>0</v>
          </cell>
          <cell r="J1053" t="str">
            <v>2106–2107</v>
          </cell>
        </row>
        <row r="1054">
          <cell r="G1054">
            <v>0</v>
          </cell>
          <cell r="J1054" t="str">
            <v>2106–2107</v>
          </cell>
        </row>
        <row r="1055">
          <cell r="G1055">
            <v>0</v>
          </cell>
          <cell r="J1055" t="str">
            <v>2106–2107</v>
          </cell>
        </row>
        <row r="1056">
          <cell r="G1056">
            <v>0</v>
          </cell>
          <cell r="J1056" t="str">
            <v>2106–2107</v>
          </cell>
        </row>
        <row r="1057">
          <cell r="G1057">
            <v>0</v>
          </cell>
          <cell r="J1057" t="str">
            <v>2107–2108</v>
          </cell>
        </row>
        <row r="1058">
          <cell r="G1058">
            <v>0</v>
          </cell>
          <cell r="J1058" t="str">
            <v>2107–2108</v>
          </cell>
        </row>
        <row r="1059">
          <cell r="G1059">
            <v>0</v>
          </cell>
          <cell r="J1059" t="str">
            <v>2107–2108</v>
          </cell>
        </row>
        <row r="1060">
          <cell r="G1060">
            <v>0</v>
          </cell>
          <cell r="J1060" t="str">
            <v>2107–2108</v>
          </cell>
        </row>
        <row r="1061">
          <cell r="G1061">
            <v>0</v>
          </cell>
          <cell r="J1061" t="str">
            <v>2107–2108</v>
          </cell>
        </row>
        <row r="1062">
          <cell r="G1062">
            <v>0</v>
          </cell>
          <cell r="J1062" t="str">
            <v>2107–2108</v>
          </cell>
        </row>
        <row r="1063">
          <cell r="G1063">
            <v>0</v>
          </cell>
          <cell r="J1063" t="str">
            <v>2107–2108</v>
          </cell>
        </row>
        <row r="1064">
          <cell r="G1064">
            <v>0</v>
          </cell>
          <cell r="J1064" t="str">
            <v>2107–2108</v>
          </cell>
        </row>
        <row r="1065">
          <cell r="G1065">
            <v>0</v>
          </cell>
          <cell r="J1065" t="str">
            <v>2107–2108</v>
          </cell>
        </row>
        <row r="1066">
          <cell r="G1066">
            <v>0</v>
          </cell>
          <cell r="J1066" t="str">
            <v>2107–2108</v>
          </cell>
        </row>
        <row r="1067">
          <cell r="G1067">
            <v>0</v>
          </cell>
          <cell r="J1067" t="str">
            <v>2107–2108</v>
          </cell>
        </row>
        <row r="1068">
          <cell r="G1068">
            <v>0</v>
          </cell>
          <cell r="J1068" t="str">
            <v>2107–2108</v>
          </cell>
        </row>
        <row r="1069">
          <cell r="G1069">
            <v>0</v>
          </cell>
          <cell r="J1069" t="str">
            <v>2108–2109</v>
          </cell>
        </row>
        <row r="1070">
          <cell r="G1070">
            <v>0</v>
          </cell>
          <cell r="J1070" t="str">
            <v>2108–2109</v>
          </cell>
        </row>
        <row r="1071">
          <cell r="G1071">
            <v>0</v>
          </cell>
          <cell r="J1071" t="str">
            <v>2108–2109</v>
          </cell>
        </row>
        <row r="1072">
          <cell r="G1072">
            <v>0</v>
          </cell>
          <cell r="J1072" t="str">
            <v>2108–2109</v>
          </cell>
        </row>
        <row r="1073">
          <cell r="G1073">
            <v>0</v>
          </cell>
          <cell r="J1073" t="str">
            <v>2108–2109</v>
          </cell>
        </row>
        <row r="1074">
          <cell r="G1074">
            <v>0</v>
          </cell>
          <cell r="J1074" t="str">
            <v>2108–2109</v>
          </cell>
        </row>
        <row r="1075">
          <cell r="G1075">
            <v>0</v>
          </cell>
          <cell r="J1075" t="str">
            <v>2108–2109</v>
          </cell>
        </row>
        <row r="1076">
          <cell r="G1076">
            <v>0</v>
          </cell>
          <cell r="J1076" t="str">
            <v>2108–2109</v>
          </cell>
        </row>
        <row r="1077">
          <cell r="G1077">
            <v>0</v>
          </cell>
          <cell r="J1077" t="str">
            <v>2108–2109</v>
          </cell>
        </row>
        <row r="1078">
          <cell r="G1078">
            <v>0</v>
          </cell>
          <cell r="J1078" t="str">
            <v>2108–2109</v>
          </cell>
        </row>
        <row r="1079">
          <cell r="G1079">
            <v>0</v>
          </cell>
          <cell r="J1079" t="str">
            <v>2108–2109</v>
          </cell>
        </row>
        <row r="1080">
          <cell r="G1080">
            <v>0</v>
          </cell>
          <cell r="J1080" t="str">
            <v>2108–2109</v>
          </cell>
        </row>
        <row r="1081">
          <cell r="G1081">
            <v>0</v>
          </cell>
          <cell r="J1081" t="str">
            <v>2109–2110</v>
          </cell>
        </row>
        <row r="1082">
          <cell r="G1082">
            <v>0</v>
          </cell>
          <cell r="J1082" t="str">
            <v>2109–2110</v>
          </cell>
        </row>
        <row r="1083">
          <cell r="G1083">
            <v>0</v>
          </cell>
          <cell r="J1083" t="str">
            <v>2109–2110</v>
          </cell>
        </row>
        <row r="1084">
          <cell r="G1084">
            <v>0</v>
          </cell>
          <cell r="J1084" t="str">
            <v>2109–2110</v>
          </cell>
        </row>
        <row r="1085">
          <cell r="G1085">
            <v>0</v>
          </cell>
          <cell r="J1085" t="str">
            <v>2109–2110</v>
          </cell>
        </row>
        <row r="1086">
          <cell r="G1086">
            <v>0</v>
          </cell>
          <cell r="J1086" t="str">
            <v>2109–2110</v>
          </cell>
        </row>
        <row r="1087">
          <cell r="G1087">
            <v>0</v>
          </cell>
          <cell r="J1087" t="str">
            <v>2109–2110</v>
          </cell>
        </row>
        <row r="1088">
          <cell r="G1088">
            <v>0</v>
          </cell>
          <cell r="J1088" t="str">
            <v>2109–2110</v>
          </cell>
        </row>
        <row r="1089">
          <cell r="G1089">
            <v>0</v>
          </cell>
          <cell r="J1089" t="str">
            <v>2109–2110</v>
          </cell>
        </row>
        <row r="1090">
          <cell r="G1090">
            <v>0</v>
          </cell>
          <cell r="J1090" t="str">
            <v>2109–2110</v>
          </cell>
        </row>
        <row r="1091">
          <cell r="G1091">
            <v>0</v>
          </cell>
          <cell r="J1091" t="str">
            <v>2109–2110</v>
          </cell>
        </row>
        <row r="1092">
          <cell r="G1092">
            <v>0</v>
          </cell>
          <cell r="J1092" t="str">
            <v>2109–2110</v>
          </cell>
        </row>
        <row r="1093">
          <cell r="G1093">
            <v>0</v>
          </cell>
          <cell r="J1093" t="str">
            <v>2110–2111</v>
          </cell>
        </row>
        <row r="1094">
          <cell r="G1094">
            <v>0</v>
          </cell>
          <cell r="J1094" t="str">
            <v>2110–2111</v>
          </cell>
        </row>
        <row r="1095">
          <cell r="G1095">
            <v>0</v>
          </cell>
          <cell r="J1095" t="str">
            <v>2110–2111</v>
          </cell>
        </row>
        <row r="1096">
          <cell r="G1096">
            <v>0</v>
          </cell>
          <cell r="J1096" t="str">
            <v>2110–2111</v>
          </cell>
        </row>
        <row r="1097">
          <cell r="G1097">
            <v>0</v>
          </cell>
          <cell r="J1097" t="str">
            <v>2110–2111</v>
          </cell>
        </row>
        <row r="1098">
          <cell r="G1098">
            <v>0</v>
          </cell>
          <cell r="J1098" t="str">
            <v>2110–2111</v>
          </cell>
        </row>
        <row r="1099">
          <cell r="G1099">
            <v>0</v>
          </cell>
          <cell r="J1099" t="str">
            <v>2110–2111</v>
          </cell>
        </row>
        <row r="1100">
          <cell r="G1100">
            <v>0</v>
          </cell>
          <cell r="J1100" t="str">
            <v>2110–2111</v>
          </cell>
        </row>
        <row r="1101">
          <cell r="G1101">
            <v>0</v>
          </cell>
          <cell r="J1101" t="str">
            <v>2110–2111</v>
          </cell>
        </row>
        <row r="1102">
          <cell r="G1102">
            <v>0</v>
          </cell>
          <cell r="J1102" t="str">
            <v>2110–2111</v>
          </cell>
        </row>
        <row r="1103">
          <cell r="G1103">
            <v>0</v>
          </cell>
          <cell r="J1103" t="str">
            <v>2110–2111</v>
          </cell>
        </row>
        <row r="1104">
          <cell r="G1104">
            <v>0</v>
          </cell>
          <cell r="J1104" t="str">
            <v>2110–2111</v>
          </cell>
        </row>
        <row r="1105">
          <cell r="G1105">
            <v>0</v>
          </cell>
          <cell r="J1105" t="str">
            <v>2111–2112</v>
          </cell>
        </row>
        <row r="1106">
          <cell r="G1106">
            <v>0</v>
          </cell>
          <cell r="J1106" t="str">
            <v>2111–2112</v>
          </cell>
        </row>
        <row r="1107">
          <cell r="G1107">
            <v>0</v>
          </cell>
          <cell r="J1107" t="str">
            <v>2111–2112</v>
          </cell>
        </row>
        <row r="1108">
          <cell r="G1108">
            <v>0</v>
          </cell>
          <cell r="J1108" t="str">
            <v>2111–2112</v>
          </cell>
        </row>
        <row r="1109">
          <cell r="G1109">
            <v>0</v>
          </cell>
          <cell r="J1109" t="str">
            <v>2111–2112</v>
          </cell>
        </row>
        <row r="1110">
          <cell r="G1110">
            <v>0</v>
          </cell>
          <cell r="J1110" t="str">
            <v>2111–2112</v>
          </cell>
        </row>
        <row r="1111">
          <cell r="G1111">
            <v>0</v>
          </cell>
          <cell r="J1111" t="str">
            <v>2111–2112</v>
          </cell>
        </row>
        <row r="1112">
          <cell r="G1112">
            <v>0</v>
          </cell>
          <cell r="J1112" t="str">
            <v>2111–2112</v>
          </cell>
        </row>
        <row r="1113">
          <cell r="G1113">
            <v>0</v>
          </cell>
          <cell r="J1113" t="str">
            <v>2111–2112</v>
          </cell>
        </row>
        <row r="1114">
          <cell r="G1114">
            <v>0</v>
          </cell>
          <cell r="J1114" t="str">
            <v>2111–2112</v>
          </cell>
        </row>
        <row r="1115">
          <cell r="G1115">
            <v>0</v>
          </cell>
          <cell r="J1115" t="str">
            <v>2111–2112</v>
          </cell>
        </row>
        <row r="1116">
          <cell r="G1116">
            <v>0</v>
          </cell>
          <cell r="J1116" t="str">
            <v>2111–2112</v>
          </cell>
        </row>
        <row r="1117">
          <cell r="G1117">
            <v>0</v>
          </cell>
          <cell r="J1117" t="str">
            <v>2112–2113</v>
          </cell>
        </row>
        <row r="1118">
          <cell r="G1118">
            <v>0</v>
          </cell>
          <cell r="J1118" t="str">
            <v>2112–2113</v>
          </cell>
        </row>
        <row r="1119">
          <cell r="G1119">
            <v>0</v>
          </cell>
          <cell r="J1119" t="str">
            <v>2112–2113</v>
          </cell>
        </row>
        <row r="1120">
          <cell r="G1120">
            <v>0</v>
          </cell>
          <cell r="J1120" t="str">
            <v>2112–2113</v>
          </cell>
        </row>
        <row r="1121">
          <cell r="G1121">
            <v>0</v>
          </cell>
          <cell r="J1121" t="str">
            <v>2112–2113</v>
          </cell>
        </row>
        <row r="1122">
          <cell r="G1122">
            <v>0</v>
          </cell>
          <cell r="J1122" t="str">
            <v>2112–2113</v>
          </cell>
        </row>
        <row r="1123">
          <cell r="G1123">
            <v>0</v>
          </cell>
          <cell r="J1123" t="str">
            <v>2112–2113</v>
          </cell>
        </row>
        <row r="1124">
          <cell r="G1124">
            <v>0</v>
          </cell>
          <cell r="J1124" t="str">
            <v>2112–2113</v>
          </cell>
        </row>
        <row r="1125">
          <cell r="G1125">
            <v>0</v>
          </cell>
          <cell r="J1125" t="str">
            <v>2112–2113</v>
          </cell>
        </row>
        <row r="1126">
          <cell r="G1126">
            <v>0</v>
          </cell>
          <cell r="J1126" t="str">
            <v>2112–2113</v>
          </cell>
        </row>
        <row r="1127">
          <cell r="G1127">
            <v>0</v>
          </cell>
          <cell r="J1127" t="str">
            <v>2112–2113</v>
          </cell>
        </row>
        <row r="1128">
          <cell r="G1128">
            <v>0</v>
          </cell>
          <cell r="J1128" t="str">
            <v>2112–2113</v>
          </cell>
        </row>
        <row r="1129">
          <cell r="G1129">
            <v>0</v>
          </cell>
          <cell r="J1129" t="str">
            <v>2113–2114</v>
          </cell>
        </row>
        <row r="1130">
          <cell r="G1130">
            <v>0</v>
          </cell>
          <cell r="J1130" t="str">
            <v>2113–2114</v>
          </cell>
        </row>
        <row r="1131">
          <cell r="G1131">
            <v>0</v>
          </cell>
          <cell r="J1131" t="str">
            <v>2113–2114</v>
          </cell>
        </row>
        <row r="1132">
          <cell r="G1132">
            <v>0</v>
          </cell>
          <cell r="J1132" t="str">
            <v>2113–2114</v>
          </cell>
        </row>
        <row r="1133">
          <cell r="G1133">
            <v>0</v>
          </cell>
          <cell r="J1133" t="str">
            <v>2113–2114</v>
          </cell>
        </row>
        <row r="1134">
          <cell r="G1134">
            <v>0</v>
          </cell>
          <cell r="J1134" t="str">
            <v>2113–2114</v>
          </cell>
        </row>
        <row r="1135">
          <cell r="G1135">
            <v>0</v>
          </cell>
          <cell r="J1135" t="str">
            <v>2113–2114</v>
          </cell>
        </row>
        <row r="1136">
          <cell r="G1136">
            <v>0</v>
          </cell>
          <cell r="J1136" t="str">
            <v>2113–2114</v>
          </cell>
        </row>
        <row r="1137">
          <cell r="G1137">
            <v>0</v>
          </cell>
          <cell r="J1137" t="str">
            <v>2113–2114</v>
          </cell>
        </row>
        <row r="1138">
          <cell r="G1138">
            <v>0</v>
          </cell>
          <cell r="J1138" t="str">
            <v>2113–2114</v>
          </cell>
        </row>
        <row r="1139">
          <cell r="G1139">
            <v>0</v>
          </cell>
          <cell r="J1139" t="str">
            <v>2113–2114</v>
          </cell>
        </row>
        <row r="1140">
          <cell r="G1140">
            <v>0</v>
          </cell>
          <cell r="J1140" t="str">
            <v>2113–2114</v>
          </cell>
        </row>
        <row r="1141">
          <cell r="G1141">
            <v>0</v>
          </cell>
          <cell r="J1141" t="str">
            <v>2114–2115</v>
          </cell>
        </row>
        <row r="1142">
          <cell r="G1142">
            <v>0</v>
          </cell>
          <cell r="J1142" t="str">
            <v>2114–2115</v>
          </cell>
        </row>
        <row r="1143">
          <cell r="G1143">
            <v>0</v>
          </cell>
          <cell r="J1143" t="str">
            <v>2114–2115</v>
          </cell>
        </row>
        <row r="1144">
          <cell r="G1144">
            <v>0</v>
          </cell>
          <cell r="J1144" t="str">
            <v>2114–2115</v>
          </cell>
        </row>
        <row r="1145">
          <cell r="G1145">
            <v>0</v>
          </cell>
          <cell r="J1145" t="str">
            <v>2114–2115</v>
          </cell>
        </row>
        <row r="1146">
          <cell r="G1146">
            <v>0</v>
          </cell>
          <cell r="J1146" t="str">
            <v>2114–2115</v>
          </cell>
        </row>
        <row r="1147">
          <cell r="G1147">
            <v>0</v>
          </cell>
          <cell r="J1147" t="str">
            <v>2114–2115</v>
          </cell>
        </row>
        <row r="1148">
          <cell r="G1148">
            <v>0</v>
          </cell>
          <cell r="J1148" t="str">
            <v>2114–2115</v>
          </cell>
        </row>
        <row r="1149">
          <cell r="G1149">
            <v>0</v>
          </cell>
          <cell r="J1149" t="str">
            <v>2114–2115</v>
          </cell>
        </row>
        <row r="1150">
          <cell r="G1150">
            <v>0</v>
          </cell>
          <cell r="J1150" t="str">
            <v>2114–2115</v>
          </cell>
        </row>
        <row r="1151">
          <cell r="G1151">
            <v>0</v>
          </cell>
          <cell r="J1151" t="str">
            <v>2114–2115</v>
          </cell>
        </row>
        <row r="1152">
          <cell r="G1152">
            <v>0</v>
          </cell>
          <cell r="J1152" t="str">
            <v>2114–2115</v>
          </cell>
        </row>
        <row r="1153">
          <cell r="G1153">
            <v>0</v>
          </cell>
          <cell r="J1153" t="str">
            <v>2115–2116</v>
          </cell>
        </row>
        <row r="1154">
          <cell r="G1154">
            <v>0</v>
          </cell>
          <cell r="J1154" t="str">
            <v>2115–2116</v>
          </cell>
        </row>
        <row r="1155">
          <cell r="G1155">
            <v>0</v>
          </cell>
          <cell r="J1155" t="str">
            <v>2115–2116</v>
          </cell>
        </row>
        <row r="1156">
          <cell r="G1156">
            <v>0</v>
          </cell>
          <cell r="J1156" t="str">
            <v>2115–2116</v>
          </cell>
        </row>
        <row r="1157">
          <cell r="G1157">
            <v>0</v>
          </cell>
          <cell r="J1157" t="str">
            <v>2115–2116</v>
          </cell>
        </row>
        <row r="1158">
          <cell r="G1158">
            <v>0</v>
          </cell>
          <cell r="J1158" t="str">
            <v>2115–2116</v>
          </cell>
        </row>
        <row r="1159">
          <cell r="G1159">
            <v>0</v>
          </cell>
          <cell r="J1159" t="str">
            <v>2115–2116</v>
          </cell>
        </row>
        <row r="1160">
          <cell r="G1160">
            <v>0</v>
          </cell>
          <cell r="J1160" t="str">
            <v>2115–2116</v>
          </cell>
        </row>
        <row r="1161">
          <cell r="G1161">
            <v>0</v>
          </cell>
          <cell r="J1161" t="str">
            <v>2115–2116</v>
          </cell>
        </row>
        <row r="1162">
          <cell r="G1162">
            <v>0</v>
          </cell>
          <cell r="J1162" t="str">
            <v>2115–2116</v>
          </cell>
        </row>
        <row r="1163">
          <cell r="G1163">
            <v>0</v>
          </cell>
          <cell r="J1163" t="str">
            <v>2115–2116</v>
          </cell>
        </row>
        <row r="1164">
          <cell r="G1164">
            <v>0</v>
          </cell>
          <cell r="J1164" t="str">
            <v>2115–2116</v>
          </cell>
        </row>
        <row r="1165">
          <cell r="G1165">
            <v>0</v>
          </cell>
          <cell r="J1165" t="str">
            <v>2116–2117</v>
          </cell>
        </row>
        <row r="1166">
          <cell r="G1166">
            <v>0</v>
          </cell>
          <cell r="J1166" t="str">
            <v>2116–2117</v>
          </cell>
        </row>
        <row r="1167">
          <cell r="G1167">
            <v>0</v>
          </cell>
          <cell r="J1167" t="str">
            <v>2116–2117</v>
          </cell>
        </row>
        <row r="1168">
          <cell r="G1168">
            <v>0</v>
          </cell>
          <cell r="J1168" t="str">
            <v>2116–2117</v>
          </cell>
        </row>
        <row r="1169">
          <cell r="G1169">
            <v>0</v>
          </cell>
          <cell r="J1169" t="str">
            <v>2116–2117</v>
          </cell>
        </row>
        <row r="1170">
          <cell r="G1170">
            <v>0</v>
          </cell>
          <cell r="J1170" t="str">
            <v>2116–2117</v>
          </cell>
        </row>
        <row r="1171">
          <cell r="G1171">
            <v>0</v>
          </cell>
          <cell r="J1171" t="str">
            <v>2116–2117</v>
          </cell>
        </row>
        <row r="1172">
          <cell r="G1172">
            <v>0</v>
          </cell>
          <cell r="J1172" t="str">
            <v>2116–2117</v>
          </cell>
        </row>
        <row r="1173">
          <cell r="G1173">
            <v>0</v>
          </cell>
          <cell r="J1173" t="str">
            <v>2116–2117</v>
          </cell>
        </row>
        <row r="1174">
          <cell r="G1174">
            <v>0</v>
          </cell>
          <cell r="J1174" t="str">
            <v>2116–2117</v>
          </cell>
        </row>
        <row r="1175">
          <cell r="G1175">
            <v>0</v>
          </cell>
          <cell r="J1175" t="str">
            <v>2116–2117</v>
          </cell>
        </row>
        <row r="1176">
          <cell r="G1176">
            <v>0</v>
          </cell>
          <cell r="J1176" t="str">
            <v>2116–2117</v>
          </cell>
        </row>
        <row r="1177">
          <cell r="G1177">
            <v>0</v>
          </cell>
          <cell r="J1177" t="str">
            <v>2117–2118</v>
          </cell>
        </row>
        <row r="1178">
          <cell r="G1178">
            <v>0</v>
          </cell>
          <cell r="J1178" t="str">
            <v>2117–2118</v>
          </cell>
        </row>
        <row r="1179">
          <cell r="G1179">
            <v>0</v>
          </cell>
          <cell r="J1179" t="str">
            <v>2117–2118</v>
          </cell>
        </row>
        <row r="1180">
          <cell r="G1180">
            <v>0</v>
          </cell>
          <cell r="J1180" t="str">
            <v>2117–2118</v>
          </cell>
        </row>
        <row r="1181">
          <cell r="G1181">
            <v>0</v>
          </cell>
          <cell r="J1181" t="str">
            <v>2117–2118</v>
          </cell>
        </row>
        <row r="1182">
          <cell r="G1182">
            <v>0</v>
          </cell>
          <cell r="J1182" t="str">
            <v>2117–2118</v>
          </cell>
        </row>
        <row r="1183">
          <cell r="G1183">
            <v>0</v>
          </cell>
          <cell r="J1183" t="str">
            <v>2117–2118</v>
          </cell>
        </row>
        <row r="1184">
          <cell r="G1184">
            <v>0</v>
          </cell>
          <cell r="J1184" t="str">
            <v>2117–2118</v>
          </cell>
        </row>
        <row r="1185">
          <cell r="G1185">
            <v>0</v>
          </cell>
          <cell r="J1185" t="str">
            <v>2117–2118</v>
          </cell>
        </row>
        <row r="1186">
          <cell r="G1186">
            <v>0</v>
          </cell>
          <cell r="J1186" t="str">
            <v>2117–2118</v>
          </cell>
        </row>
        <row r="1187">
          <cell r="G1187">
            <v>0</v>
          </cell>
          <cell r="J1187" t="str">
            <v>2117–2118</v>
          </cell>
        </row>
        <row r="1188">
          <cell r="G1188">
            <v>0</v>
          </cell>
          <cell r="J1188" t="str">
            <v>2117–2118</v>
          </cell>
        </row>
        <row r="1189">
          <cell r="G1189">
            <v>0</v>
          </cell>
          <cell r="J1189" t="str">
            <v>2118–2119</v>
          </cell>
        </row>
        <row r="1190">
          <cell r="G1190">
            <v>0</v>
          </cell>
          <cell r="J1190" t="str">
            <v>2118–2119</v>
          </cell>
        </row>
        <row r="1191">
          <cell r="G1191">
            <v>0</v>
          </cell>
          <cell r="J1191" t="str">
            <v>2118–2119</v>
          </cell>
        </row>
        <row r="1192">
          <cell r="G1192">
            <v>0</v>
          </cell>
          <cell r="J1192" t="str">
            <v>2118–2119</v>
          </cell>
        </row>
        <row r="1193">
          <cell r="G1193">
            <v>0</v>
          </cell>
          <cell r="J1193" t="str">
            <v>2118–2119</v>
          </cell>
        </row>
        <row r="1194">
          <cell r="G1194">
            <v>0</v>
          </cell>
          <cell r="J1194" t="str">
            <v>2118–2119</v>
          </cell>
        </row>
        <row r="1195">
          <cell r="G1195">
            <v>0</v>
          </cell>
          <cell r="J1195" t="str">
            <v>2118–2119</v>
          </cell>
        </row>
        <row r="1196">
          <cell r="G1196">
            <v>0</v>
          </cell>
          <cell r="J1196" t="str">
            <v>2118–2119</v>
          </cell>
        </row>
        <row r="1197">
          <cell r="G1197">
            <v>0</v>
          </cell>
          <cell r="J1197" t="str">
            <v>2118–2119</v>
          </cell>
        </row>
        <row r="1198">
          <cell r="G1198">
            <v>0</v>
          </cell>
          <cell r="J1198" t="str">
            <v>2118–2119</v>
          </cell>
        </row>
        <row r="1199">
          <cell r="G1199">
            <v>0</v>
          </cell>
          <cell r="J1199" t="str">
            <v>2118–2119</v>
          </cell>
        </row>
        <row r="1200">
          <cell r="G1200">
            <v>0</v>
          </cell>
          <cell r="J1200" t="str">
            <v>2118–2119</v>
          </cell>
        </row>
        <row r="1201">
          <cell r="G1201">
            <v>0</v>
          </cell>
          <cell r="J1201" t="str">
            <v>2119–2120</v>
          </cell>
        </row>
        <row r="1202">
          <cell r="G1202">
            <v>0</v>
          </cell>
          <cell r="J1202" t="str">
            <v>2119–2120</v>
          </cell>
        </row>
        <row r="1203">
          <cell r="G1203">
            <v>0</v>
          </cell>
          <cell r="J1203" t="str">
            <v>2119–2120</v>
          </cell>
        </row>
        <row r="1204">
          <cell r="G1204">
            <v>0</v>
          </cell>
          <cell r="J1204" t="str">
            <v>2119–2120</v>
          </cell>
        </row>
        <row r="1205">
          <cell r="G1205">
            <v>0</v>
          </cell>
          <cell r="J1205" t="str">
            <v>2119–2120</v>
          </cell>
        </row>
        <row r="1206">
          <cell r="G1206">
            <v>0</v>
          </cell>
          <cell r="J1206" t="str">
            <v>2119–2120</v>
          </cell>
        </row>
        <row r="1207">
          <cell r="G1207">
            <v>0</v>
          </cell>
          <cell r="J1207" t="str">
            <v>2119–2120</v>
          </cell>
        </row>
        <row r="1208">
          <cell r="G1208">
            <v>0</v>
          </cell>
          <cell r="J1208" t="str">
            <v>2119–2120</v>
          </cell>
        </row>
        <row r="1209">
          <cell r="G1209">
            <v>0</v>
          </cell>
          <cell r="J1209" t="str">
            <v>2119–2120</v>
          </cell>
        </row>
        <row r="1210">
          <cell r="G1210">
            <v>0</v>
          </cell>
          <cell r="J1210" t="str">
            <v>2119–2120</v>
          </cell>
        </row>
        <row r="1211">
          <cell r="G1211">
            <v>0</v>
          </cell>
          <cell r="J1211" t="str">
            <v>2119–2120</v>
          </cell>
        </row>
        <row r="1212">
          <cell r="G1212">
            <v>0</v>
          </cell>
          <cell r="J1212" t="str">
            <v>2119–2120</v>
          </cell>
        </row>
        <row r="1213">
          <cell r="G1213">
            <v>0</v>
          </cell>
          <cell r="J1213" t="str">
            <v>2120–2121</v>
          </cell>
        </row>
        <row r="1214">
          <cell r="G1214">
            <v>0</v>
          </cell>
          <cell r="J1214" t="str">
            <v>2120–2121</v>
          </cell>
        </row>
        <row r="1215">
          <cell r="G1215">
            <v>0</v>
          </cell>
          <cell r="J1215" t="str">
            <v>2120–2121</v>
          </cell>
        </row>
        <row r="1216">
          <cell r="G1216">
            <v>0</v>
          </cell>
          <cell r="J1216" t="str">
            <v>2120–2121</v>
          </cell>
        </row>
        <row r="1217">
          <cell r="G1217">
            <v>0</v>
          </cell>
          <cell r="J1217" t="str">
            <v>2120–2121</v>
          </cell>
        </row>
        <row r="1218">
          <cell r="G1218">
            <v>0</v>
          </cell>
          <cell r="J1218" t="str">
            <v>2120–2121</v>
          </cell>
        </row>
        <row r="1219">
          <cell r="G1219">
            <v>0</v>
          </cell>
          <cell r="J1219" t="str">
            <v>2120–2121</v>
          </cell>
        </row>
        <row r="1220">
          <cell r="G1220">
            <v>0</v>
          </cell>
          <cell r="J1220" t="str">
            <v>2120–2121</v>
          </cell>
        </row>
        <row r="1221">
          <cell r="G1221">
            <v>0</v>
          </cell>
          <cell r="J1221" t="str">
            <v>2120–2121</v>
          </cell>
        </row>
        <row r="1222">
          <cell r="G1222">
            <v>0</v>
          </cell>
          <cell r="J1222" t="str">
            <v>2120–2121</v>
          </cell>
        </row>
        <row r="1223">
          <cell r="G1223">
            <v>0</v>
          </cell>
          <cell r="J1223" t="str">
            <v>2120–2121</v>
          </cell>
        </row>
        <row r="1224">
          <cell r="G1224">
            <v>0</v>
          </cell>
          <cell r="J1224" t="str">
            <v>2120–2121</v>
          </cell>
        </row>
        <row r="1225">
          <cell r="G1225">
            <v>0</v>
          </cell>
          <cell r="J1225" t="str">
            <v>2121–2122</v>
          </cell>
        </row>
        <row r="1226">
          <cell r="G1226">
            <v>0</v>
          </cell>
          <cell r="J1226" t="str">
            <v>2121–2122</v>
          </cell>
        </row>
        <row r="1227">
          <cell r="G1227">
            <v>0</v>
          </cell>
          <cell r="J1227" t="str">
            <v>2121–2122</v>
          </cell>
        </row>
        <row r="1228">
          <cell r="G1228">
            <v>0</v>
          </cell>
          <cell r="J1228" t="str">
            <v>2121–2122</v>
          </cell>
        </row>
        <row r="1229">
          <cell r="G1229">
            <v>0</v>
          </cell>
          <cell r="J1229" t="str">
            <v>2121–2122</v>
          </cell>
        </row>
        <row r="1230">
          <cell r="G1230">
            <v>0</v>
          </cell>
          <cell r="J1230" t="str">
            <v>2121–2122</v>
          </cell>
        </row>
        <row r="1231">
          <cell r="G1231">
            <v>0</v>
          </cell>
          <cell r="J1231" t="str">
            <v>2121–2122</v>
          </cell>
        </row>
        <row r="1232">
          <cell r="G1232">
            <v>0</v>
          </cell>
          <cell r="J1232" t="str">
            <v>2121–2122</v>
          </cell>
        </row>
        <row r="1233">
          <cell r="G1233">
            <v>0</v>
          </cell>
          <cell r="J1233" t="str">
            <v>2121–2122</v>
          </cell>
        </row>
        <row r="1234">
          <cell r="G1234">
            <v>0</v>
          </cell>
          <cell r="J1234" t="str">
            <v>2121–2122</v>
          </cell>
        </row>
        <row r="1235">
          <cell r="G1235">
            <v>0</v>
          </cell>
          <cell r="J1235" t="str">
            <v>2121–2122</v>
          </cell>
        </row>
        <row r="1236">
          <cell r="G1236">
            <v>0</v>
          </cell>
          <cell r="J1236" t="str">
            <v>2121–2122</v>
          </cell>
        </row>
      </sheetData>
      <sheetData sheetId="6">
        <row r="7">
          <cell r="E7" t="str">
            <v>2023–2024</v>
          </cell>
        </row>
      </sheetData>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16" sqref="E16"/>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57" zoomScale="70" zoomScaleNormal="70" workbookViewId="0">
      <selection activeCell="J63" sqref="J6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t="s">
        <v>1715</v>
      </c>
      <c r="I4" s="194"/>
    </row>
    <row r="5" spans="1:20" ht="16.5" customHeight="1" x14ac:dyDescent="0.2">
      <c r="A5" s="188" t="s">
        <v>1615</v>
      </c>
      <c r="B5" s="188"/>
      <c r="C5" s="188"/>
      <c r="D5" s="188"/>
      <c r="E5" s="188"/>
      <c r="F5" s="194" t="s">
        <v>777</v>
      </c>
      <c r="G5" s="194"/>
      <c r="H5" s="194"/>
      <c r="I5" s="194"/>
      <c r="L5" s="12"/>
      <c r="M5" s="12"/>
      <c r="N5" s="12"/>
      <c r="O5" s="12"/>
      <c r="P5" s="12"/>
      <c r="Q5" s="12"/>
    </row>
    <row r="6" spans="1:20" ht="16.5" customHeight="1" x14ac:dyDescent="0.25">
      <c r="A6" s="188" t="s">
        <v>1634</v>
      </c>
      <c r="B6" s="188"/>
      <c r="C6" s="188"/>
      <c r="D6" s="188"/>
      <c r="E6" s="188"/>
      <c r="F6" s="195">
        <v>140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1535523.323861172</v>
      </c>
      <c r="M17" s="143">
        <v>1535523.323861172</v>
      </c>
      <c r="P17" s="143">
        <v>1535523</v>
      </c>
      <c r="Q17" s="155"/>
      <c r="S17" s="154">
        <f t="shared" si="0"/>
        <v>-0.3238611719571054</v>
      </c>
      <c r="T17" s="180" t="s">
        <v>1684</v>
      </c>
    </row>
    <row r="18" spans="1:20" ht="16.5" customHeight="1" x14ac:dyDescent="0.25">
      <c r="A18" s="54"/>
      <c r="B18" s="9" t="s">
        <v>168</v>
      </c>
      <c r="C18" s="9"/>
      <c r="D18" s="9"/>
      <c r="E18" s="140"/>
      <c r="F18" s="141"/>
      <c r="G18" s="141"/>
      <c r="H18" s="142"/>
      <c r="I18" s="142"/>
      <c r="J18" s="178">
        <f>P18</f>
        <v>24671</v>
      </c>
      <c r="M18" s="143">
        <v>24669.855991080403</v>
      </c>
      <c r="P18" s="152">
        <f>IF(SUM($Q$20:$Q$23)&gt;SUM($P$15:$P$17),SUM($Q$20:$Q$23)-SUM($P$15:$P$17),0)</f>
        <v>24671</v>
      </c>
      <c r="Q18" s="155"/>
      <c r="S18" s="154">
        <f t="shared" si="0"/>
        <v>1.1440089195966721</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504829.58592696051</v>
      </c>
      <c r="N22" s="143">
        <v>504829.58592696051</v>
      </c>
      <c r="P22" s="155"/>
      <c r="Q22" s="143">
        <v>504830</v>
      </c>
      <c r="S22" s="154">
        <f t="shared" ref="S22:S25" si="1">Q22-N22</f>
        <v>0.41407303948653862</v>
      </c>
      <c r="T22" s="179" t="s">
        <v>1668</v>
      </c>
    </row>
    <row r="23" spans="1:20" ht="16.5" customHeight="1" x14ac:dyDescent="0.25">
      <c r="A23" s="165" t="s">
        <v>1645</v>
      </c>
      <c r="B23" s="9"/>
      <c r="C23" s="9" t="s">
        <v>173</v>
      </c>
      <c r="D23" s="9"/>
      <c r="E23" s="140"/>
      <c r="F23" s="141"/>
      <c r="G23" s="141"/>
      <c r="H23" s="142"/>
      <c r="I23" s="142"/>
      <c r="J23" s="150"/>
      <c r="K23" s="178">
        <f>N23</f>
        <v>1055363.5939252919</v>
      </c>
      <c r="N23" s="143">
        <v>1055363.5939252919</v>
      </c>
      <c r="P23" s="155"/>
      <c r="Q23" s="143">
        <v>1055364</v>
      </c>
      <c r="S23" s="154">
        <f t="shared" si="1"/>
        <v>0.40607470809482038</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1.1440089195966721</v>
      </c>
      <c r="N25" s="143"/>
      <c r="P25" s="155"/>
      <c r="Q25" s="155"/>
      <c r="S25" s="154">
        <f t="shared" si="1"/>
        <v>0</v>
      </c>
      <c r="T25" s="179" t="s">
        <v>1668</v>
      </c>
    </row>
    <row r="26" spans="1:20" ht="16.5" customHeight="1" x14ac:dyDescent="0.25">
      <c r="A26" s="54"/>
      <c r="C26" s="20"/>
      <c r="D26" s="20"/>
      <c r="E26" s="20"/>
      <c r="F26" s="127"/>
      <c r="G26" s="127"/>
      <c r="H26" s="22"/>
      <c r="I26" s="22"/>
      <c r="J26" s="107">
        <f>SUM(J15:J25)</f>
        <v>1560194.323861172</v>
      </c>
      <c r="K26" s="107">
        <f>SUM(K15:K25)</f>
        <v>1560194.323861172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252414.79296348037</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f>SUMIF('[2]Auburn Creekside Input'!$J$25:$J$1236,'[2]Auburn Creekside Output'!$E$7,'[2]Auburn Creekside Input'!$G$25:$G$1236)</f>
        <v>252414.79296348037</v>
      </c>
    </row>
    <row r="59" spans="1:16" ht="16.5" customHeight="1" x14ac:dyDescent="0.25">
      <c r="A59" s="54"/>
      <c r="C59" s="16"/>
      <c r="D59" s="16"/>
      <c r="E59" s="16"/>
      <c r="F59" s="17"/>
      <c r="G59" s="17"/>
      <c r="H59" s="18"/>
      <c r="I59" s="18"/>
      <c r="J59" s="107">
        <f>SUM(J55:J58)</f>
        <v>252414.79296348037</v>
      </c>
      <c r="K59" s="107">
        <f>SUM(K55:K58)</f>
        <v>252414.79296348037</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250609.16873612787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8468.7912638720918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259077.95999999996</v>
      </c>
    </row>
    <row r="65" spans="1:12" ht="16.5" customHeight="1" x14ac:dyDescent="0.25">
      <c r="A65" s="54"/>
      <c r="C65" s="16"/>
      <c r="D65" s="16"/>
      <c r="E65" s="16"/>
      <c r="F65" s="17"/>
      <c r="G65" s="17"/>
      <c r="H65" s="18"/>
      <c r="I65" s="18"/>
      <c r="J65" s="107">
        <f>SUM(J62:J64)</f>
        <v>259077.95999999996</v>
      </c>
      <c r="K65" s="107">
        <f>SUM(K62:K64)</f>
        <v>259077.95999999996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250609.16873612787</v>
      </c>
      <c r="K68" s="144"/>
    </row>
    <row r="69" spans="1:12" ht="16.5" customHeight="1" x14ac:dyDescent="0.25">
      <c r="A69" s="54"/>
      <c r="B69" s="9"/>
      <c r="C69" s="9" t="s">
        <v>185</v>
      </c>
      <c r="D69" s="140"/>
      <c r="E69" s="140"/>
      <c r="F69" s="141"/>
      <c r="G69" s="141"/>
      <c r="H69" s="142"/>
      <c r="I69" s="142"/>
      <c r="J69" s="144"/>
      <c r="K69" s="143">
        <v>250609.16873612787</v>
      </c>
      <c r="L69" s="10" t="str">
        <f>IF($J$62=$K$69,"","&lt;- Accts 0848 must agree")</f>
        <v/>
      </c>
    </row>
    <row r="70" spans="1:12" ht="16.5" customHeight="1" x14ac:dyDescent="0.25">
      <c r="A70" s="54"/>
      <c r="C70" s="16"/>
      <c r="D70" s="16"/>
      <c r="E70" s="16"/>
      <c r="F70" s="17"/>
      <c r="G70" s="17"/>
      <c r="H70" s="18"/>
      <c r="I70" s="18"/>
      <c r="J70" s="107">
        <f>SUM(J68:J69)</f>
        <v>250609.16873612787</v>
      </c>
      <c r="K70" s="107">
        <f>SUM(K68:K69)</f>
        <v>250609.16873612787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253509.55843481107</v>
      </c>
      <c r="K75" s="144"/>
    </row>
    <row r="76" spans="1:12" ht="16.5" customHeight="1" x14ac:dyDescent="0.25">
      <c r="A76" s="54"/>
      <c r="B76" s="9"/>
      <c r="C76" s="9" t="s">
        <v>193</v>
      </c>
      <c r="D76" s="140"/>
      <c r="E76" s="140"/>
      <c r="F76" s="141"/>
      <c r="G76" s="141"/>
      <c r="H76" s="142"/>
      <c r="I76" s="142"/>
      <c r="J76" s="144"/>
      <c r="K76" s="143">
        <v>253509.55843481107</v>
      </c>
    </row>
    <row r="77" spans="1:12" ht="16.5" customHeight="1" x14ac:dyDescent="0.2">
      <c r="A77" s="54"/>
      <c r="B77" s="191" t="s">
        <v>1672</v>
      </c>
      <c r="C77" s="191"/>
      <c r="D77" s="191"/>
      <c r="E77" s="191"/>
      <c r="F77" s="191"/>
      <c r="G77" s="191"/>
      <c r="H77" s="191"/>
      <c r="I77" s="191"/>
      <c r="J77" s="107">
        <f>SUM(J75:J76)</f>
        <v>253509.55843481107</v>
      </c>
      <c r="K77" s="107">
        <f>SUM(K75:K76)</f>
        <v>253509.55843481107</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1535523.323861172</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-757244.37889044092</v>
      </c>
    </row>
    <row r="128" spans="1:12" ht="16.5" customHeight="1" x14ac:dyDescent="0.25">
      <c r="D128" s="140" t="s">
        <v>1656</v>
      </c>
      <c r="H128" s="10"/>
      <c r="K128" s="169">
        <f>-K23-K48+J68+J75+J96-K113</f>
        <v>-551244.86675435293</v>
      </c>
    </row>
    <row r="129" spans="4:11" ht="16.5" customHeight="1" x14ac:dyDescent="0.25">
      <c r="D129" s="140" t="s">
        <v>1657</v>
      </c>
      <c r="H129" s="10"/>
      <c r="K129" s="169">
        <f>-K76</f>
        <v>-253509.55843481107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3" zoomScale="70" zoomScaleNormal="70" workbookViewId="0">
      <selection activeCell="B17" sqref="B1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3855</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253510</v>
      </c>
      <c r="C13" s="55">
        <v>6199</v>
      </c>
      <c r="D13" s="202" t="s">
        <v>4</v>
      </c>
      <c r="E13" s="203"/>
      <c r="F13" s="203"/>
      <c r="G13" s="29"/>
      <c r="H13" s="29"/>
      <c r="I13" s="29"/>
      <c r="J13" s="29"/>
      <c r="K13" s="29"/>
      <c r="L13" s="29"/>
      <c r="M13" s="29"/>
    </row>
    <row r="14" spans="1:13" x14ac:dyDescent="0.2">
      <c r="A14" s="51" t="str">
        <f>LEFT(A13,4)+1&amp;"–"&amp;RIGHT(A13,4)+1</f>
        <v>2025–2026</v>
      </c>
      <c r="B14" s="55">
        <v>262969</v>
      </c>
      <c r="C14" s="55">
        <v>3881</v>
      </c>
      <c r="D14" s="202"/>
      <c r="E14" s="203"/>
      <c r="F14" s="203"/>
    </row>
    <row r="15" spans="1:13" ht="15.75" x14ac:dyDescent="0.2">
      <c r="A15" s="51" t="str">
        <f>LEFT(A14,4)+1&amp;"–"&amp;RIGHT(A14,4)+1</f>
        <v>2026–2027</v>
      </c>
      <c r="B15" s="55">
        <v>266001</v>
      </c>
      <c r="C15" s="55">
        <v>1499</v>
      </c>
      <c r="D15" s="198" t="s">
        <v>124</v>
      </c>
      <c r="E15" s="198"/>
      <c r="F15" s="198"/>
      <c r="G15" s="30"/>
      <c r="H15" s="30"/>
      <c r="I15" s="30"/>
      <c r="J15" s="30"/>
      <c r="K15" s="30"/>
      <c r="L15" s="30"/>
      <c r="M15" s="30"/>
    </row>
    <row r="16" spans="1:13" x14ac:dyDescent="0.2">
      <c r="A16" s="51" t="str">
        <f>LEFT(A15,4)+1&amp;"–"&amp;RIGHT(A15,4)+1</f>
        <v>2027–2028</v>
      </c>
      <c r="B16" s="55">
        <f>22275</f>
        <v>22275</v>
      </c>
      <c r="C16" s="55">
        <v>17</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3855</v>
      </c>
      <c r="C40" s="213"/>
      <c r="E40" s="32"/>
    </row>
    <row r="41" spans="1:13" ht="15.75" x14ac:dyDescent="0.25">
      <c r="A41" s="5" t="s">
        <v>191</v>
      </c>
      <c r="B41" s="197" t="str">
        <f>B10</f>
        <v>Sierra Nevada Conservancy</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3855</v>
      </c>
      <c r="C71" s="213"/>
    </row>
    <row r="72" spans="1:13" ht="15.75" x14ac:dyDescent="0.25">
      <c r="A72" s="5" t="s">
        <v>191</v>
      </c>
      <c r="B72" s="197" t="str">
        <f>B10</f>
        <v>Sierra Nevada Conservancy</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0140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3855 - Sierra Nevada Conservancy</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0140 Journal Entries'!$F$8="Governmental Fund",'LS-Fund 0140 Journal Entries'!$K$23,0)</f>
        <v>1055363.5939252919</v>
      </c>
      <c r="G10" s="58"/>
      <c r="H10" s="61">
        <f>IF('LS-Fund 0140 Journal Entries'!$F$8="Governmental Fund",SUM('LS-Fund 0140 Journal Entries'!$K$48,'LS-Fund 0140 Journal Entries'!K113),0)</f>
        <v>0</v>
      </c>
      <c r="I10" s="58"/>
      <c r="J10" s="61">
        <f>IF('LS-Fund 0140 Journal Entries'!$F$8="Governmental Fund",SUM('LS-Fund 0140 Journal Entries'!$J$68,'LS-Fund 0140 Journal Entries'!J96),0)</f>
        <v>250609.16873612787</v>
      </c>
      <c r="K10" s="58"/>
      <c r="L10" s="63">
        <f>SUM(F10+H10-J10)</f>
        <v>804754.425189164</v>
      </c>
      <c r="M10" s="58"/>
      <c r="N10" s="61">
        <f>IF('LS-Fund 0140 Journal Entries'!$F$8="Governmental Fund",'LS-Fund 0140 Journal Entries'!$K$76,0)</f>
        <v>253509.55843481107</v>
      </c>
      <c r="O10" s="58"/>
      <c r="P10" s="63">
        <f>L10-N10</f>
        <v>551244.86675435293</v>
      </c>
      <c r="Q10" s="43"/>
    </row>
    <row r="11" spans="2:17" ht="19.5" thickTop="1" thickBot="1" x14ac:dyDescent="0.3">
      <c r="B11" s="41"/>
      <c r="C11" s="45" t="s">
        <v>18</v>
      </c>
      <c r="F11" s="62">
        <f>SUM(F10:F10)</f>
        <v>1055363.5939252919</v>
      </c>
      <c r="G11" s="58"/>
      <c r="H11" s="62">
        <f>SUM(H10:H10)</f>
        <v>0</v>
      </c>
      <c r="I11" s="58"/>
      <c r="J11" s="62">
        <f>SUM(J10:J10)</f>
        <v>250609.16873612787</v>
      </c>
      <c r="K11" s="58"/>
      <c r="L11" s="62">
        <f>SUM(L10:L10)</f>
        <v>804754.425189164</v>
      </c>
      <c r="M11" s="58"/>
      <c r="N11" s="62">
        <f>SUM(N10:N10)</f>
        <v>253509.55843481107</v>
      </c>
      <c r="O11" s="58"/>
      <c r="P11" s="62">
        <f>SUM(P10:P10)</f>
        <v>551244.86675435293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0140 Journal Entries'!$F$8="Proprietary - Internal Service Fund",'LS-Fund 0140 Journal Entries'!$K$23,0)</f>
        <v>0</v>
      </c>
      <c r="G14" s="58"/>
      <c r="H14" s="61">
        <f>IF('LS-Fund 0140 Journal Entries'!$F$8="Proprietary - Internal Service Fund",SUM('LS-Fund 0140 Journal Entries'!$K$48,'LS-Fund 0140 Journal Entries'!K113),0)</f>
        <v>0</v>
      </c>
      <c r="I14" s="58"/>
      <c r="J14" s="61">
        <f>IF('LS-Fund 0140 Journal Entries'!$F$8="Proprietary - Internal Service Fund",SUM('LS-Fund 0140 Journal Entries'!$J$68,'LS-Fund 0140 Journal Entries'!J96),0)</f>
        <v>0</v>
      </c>
      <c r="K14" s="58"/>
      <c r="L14" s="63">
        <f>SUM(F14+H14-J14)</f>
        <v>0</v>
      </c>
      <c r="M14" s="58"/>
      <c r="N14" s="61">
        <f>IF('LS-Fund 0140 Journal Entries'!$F$8="Proprietary - Internal Service Fund",'LS-Fund 0140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0140 Journal Entries'!$F$8="Proprietary - Enterprise Fund",'LS-Fund 0140 Journal Entries'!$K$23,0)</f>
        <v>0</v>
      </c>
      <c r="G18" s="58"/>
      <c r="H18" s="61">
        <f>IF('LS-Fund 0140 Journal Entries'!$F$8="Proprietary - Enterprise Fund",SUM('LS-Fund 0140 Journal Entries'!$K$48,'LS-Fund 0140 Journal Entries'!K113),0)</f>
        <v>0</v>
      </c>
      <c r="I18" s="58"/>
      <c r="J18" s="61">
        <f>IF('LS-Fund 0140 Journal Entries'!$F$8="Proprietary - Enterprise Fund",SUM('LS-Fund 0140 Journal Entries'!$J$68,'LS-Fund 0140 Journal Entries'!J96),0)</f>
        <v>0</v>
      </c>
      <c r="K18" s="58"/>
      <c r="L18" s="63">
        <f>SUM(F18+H18-J18)</f>
        <v>0</v>
      </c>
      <c r="M18" s="58"/>
      <c r="N18" s="61">
        <f>IF('LS-Fund 0140 Journal Entries'!$F$8="Proprietary - Enterprise Fund",'LS-Fund 0140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L10" sqref="L10"/>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0140 Journal Entries'!$F$8="Governmental Fund",'LS-Fund 0140 Journal Entries'!$K$23,0)</f>
        <v>1055363.5939252919</v>
      </c>
      <c r="C16" s="116" t="s">
        <v>145</v>
      </c>
      <c r="D16" s="84">
        <f>IF('LS-Fund 0140 Journal Entries'!$F$8="Governmental Fund",'LS-Fund 0140 Journal Entries'!$K$48,0)</f>
        <v>0</v>
      </c>
      <c r="E16" s="118" t="s">
        <v>146</v>
      </c>
      <c r="F16" s="84">
        <f>IF('LS-Fund 0140 Journal Entries'!$F$8="Governmental Fund",'LS-Fund 0140 Journal Entries'!$J$68,0)</f>
        <v>250609.16873612787</v>
      </c>
      <c r="G16" s="117" t="s">
        <v>146</v>
      </c>
      <c r="H16" s="84">
        <f>IF('LS-Fund 0140 Journal Entries'!$F$8="Governmental Fund",'LS-Fund 0140 Journal Entries'!$J$96,0)</f>
        <v>0</v>
      </c>
      <c r="I16" s="117" t="s">
        <v>145</v>
      </c>
      <c r="J16" s="84">
        <f>IF('LS-Fund 0140 Journal Entries'!$F$8="Governmental Fund",'LS-Fund 0140 Journal Entries'!$K$113,0)</f>
        <v>0</v>
      </c>
      <c r="K16" s="118" t="s">
        <v>149</v>
      </c>
      <c r="L16" s="87">
        <f>+B16+D16-F16-H16+J16</f>
        <v>804754.425189164</v>
      </c>
      <c r="M16" s="86"/>
      <c r="N16" s="88">
        <f>SUM('LS-Department Note Disclosure'!B13:B36)</f>
        <v>804755</v>
      </c>
      <c r="O16" s="85"/>
      <c r="P16" s="89">
        <f>L16-N16</f>
        <v>-0.57481083599850535</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0140 Journal Entries'!$F$8="Proprietary - Internal Service Fund",'LS-Fund 0140 Journal Entries'!$K$23,0)</f>
        <v>0</v>
      </c>
      <c r="C24" s="116" t="s">
        <v>145</v>
      </c>
      <c r="D24" s="84">
        <f>IF('LS-Fund 0140 Journal Entries'!$F$8="Proprietary - Internal Service Fund",'LS-Fund 0140 Journal Entries'!$K$48,0)</f>
        <v>0</v>
      </c>
      <c r="E24" s="118" t="s">
        <v>146</v>
      </c>
      <c r="F24" s="84">
        <f>IF('LS-Fund 0140 Journal Entries'!$F$8="Proprietary - Internal Service Fund",'LS-Fund 0140 Journal Entries'!$J$68,0)</f>
        <v>0</v>
      </c>
      <c r="G24" s="117" t="s">
        <v>146</v>
      </c>
      <c r="H24" s="84">
        <f>IF('LS-Fund 0140 Journal Entries'!$F$8="Proprietary - Internal Service Fund",'LS-Fund 0140 Journal Entries'!$J$96,0)</f>
        <v>0</v>
      </c>
      <c r="I24" s="117" t="s">
        <v>145</v>
      </c>
      <c r="J24" s="84">
        <f>IF('LS-Fund 0140 Journal Entries'!$F$8="Proprietary - Internal Service Fund",'LS-Fund 0140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0140 Journal Entries'!$F$8="Proprietary - Enterprise Fund",'LS-Fund 0140 Journal Entries'!$K$23,0)</f>
        <v>0</v>
      </c>
      <c r="C33" s="116" t="s">
        <v>145</v>
      </c>
      <c r="D33" s="84">
        <f>IF('LS-Fund 0140 Journal Entries'!$F$8="Proprietary - Enterprise Fund",'LS-Fund 0140 Journal Entries'!$K$48,0)</f>
        <v>0</v>
      </c>
      <c r="E33" s="118" t="s">
        <v>146</v>
      </c>
      <c r="F33" s="84">
        <f>IF('LS-Fund 0140 Journal Entries'!$F$8="Proprietary - Enterprise Fund",'LS-Fund 0140 Journal Entries'!$J$68,0)</f>
        <v>0</v>
      </c>
      <c r="G33" s="117" t="s">
        <v>146</v>
      </c>
      <c r="H33" s="84">
        <f>IF('LS-Fund 0140 Journal Entries'!$F$8="Proprietary - Enterprise Fund",'LS-Fund 0140 Journal Entries'!$J$96,0)</f>
        <v>0</v>
      </c>
      <c r="I33" s="117" t="s">
        <v>145</v>
      </c>
      <c r="J33" s="84">
        <f>IF('LS-Fund 0140 Journal Entries'!$F$8="Proprietary - Enterprise Fund",'LS-Fund 0140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0140 Journal Entries'!$F$8="Governmental Fund",'LS-Fund 0140 Journal Entries'!$K$76,0)</f>
        <v>253509.55843481107</v>
      </c>
      <c r="C42" s="92"/>
      <c r="E42" s="92"/>
      <c r="G42" s="115"/>
      <c r="H42" s="115"/>
      <c r="I42" s="115"/>
      <c r="J42" s="115"/>
      <c r="K42" s="92"/>
      <c r="L42" s="92"/>
      <c r="M42" s="93"/>
      <c r="N42" s="88">
        <f>'LS-Department Note Disclosure'!B13</f>
        <v>253510</v>
      </c>
      <c r="O42" s="94"/>
      <c r="P42" s="89">
        <f>B42-N42</f>
        <v>-0.44156518892850727</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1055363.5939252919</v>
      </c>
      <c r="J66" s="97">
        <f>SUM(D66)</f>
        <v>1055363.5939252919</v>
      </c>
      <c r="L66" s="98" t="str">
        <f>CONCATENATE("Balance July 1, ",LEFT('LS-Department Note Disclosure'!$B$8,4))</f>
        <v>Balance July 1, 2023</v>
      </c>
      <c r="N66" s="97">
        <f>'LS-Lease Liabilities'!F10</f>
        <v>1055363.5939252919</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250609.16873612787</v>
      </c>
      <c r="E68" s="119" t="s">
        <v>145</v>
      </c>
      <c r="F68" s="79" t="s">
        <v>1678</v>
      </c>
      <c r="H68" s="97">
        <f>$H$16</f>
        <v>0</v>
      </c>
      <c r="J68" s="97">
        <f>SUM(D68,H68)</f>
        <v>250609.16873612787</v>
      </c>
      <c r="L68" s="98" t="s">
        <v>13</v>
      </c>
      <c r="N68" s="97">
        <f>'LS-Lease Liabilities'!J10</f>
        <v>250609.16873612787</v>
      </c>
      <c r="P68" s="89">
        <f t="shared" si="0"/>
        <v>0</v>
      </c>
    </row>
    <row r="69" spans="1:17" x14ac:dyDescent="0.25">
      <c r="B69" s="79" t="s">
        <v>155</v>
      </c>
      <c r="D69" s="97">
        <f>$B$42</f>
        <v>253509.55843481107</v>
      </c>
      <c r="J69" s="97">
        <f>SUM(D69)</f>
        <v>253509.55843481107</v>
      </c>
      <c r="L69" s="98" t="s">
        <v>14</v>
      </c>
      <c r="N69" s="97">
        <f>'LS-Lease Liabilities'!N10</f>
        <v>253509.55843481107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2025-03-12T23:26:16Z</dcterms:modified>
</cp:coreProperties>
</file>