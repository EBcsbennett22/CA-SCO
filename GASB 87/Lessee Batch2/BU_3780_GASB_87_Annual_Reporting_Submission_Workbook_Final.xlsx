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A42AB7C8-0A95-4438-9977-3D7DC04BE26D}" xr6:coauthVersionLast="47" xr6:coauthVersionMax="47" xr10:uidLastSave="{00000000-0000-0000-0000-000000000000}"/>
  <bookViews>
    <workbookView xWindow="-120" yWindow="-120" windowWidth="29040" windowHeight="15840" tabRatio="921" firstSheet="2" activeTab="6"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<sst xmlns="http://schemas.openxmlformats.org/spreadsheetml/2006/main" count="7718" uniqueCount="1716">
  <si>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</si>
  <si>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</si>
  <si>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</si>
  <si>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</si>
  <si>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</si>
  <si>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</si>
  <si>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</si>
  <si>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</si>
  <si>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</si>
  <si>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</si>
  <si>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</si>
  <si>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</si>
  <si>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</si>
  <si>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</si>
  <si>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</si>
  <si>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</si>
  <si>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</si>
  <si>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</si>
  <si>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</si>
  <si>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</si>
  <si>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</si>
  <si>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</si>
  <si>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</si>
  <si>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</si>
  <si>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</si>
  <si>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</si>
  <si>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</si>
  <si>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</si>
  <si>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</si>
  <si>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</si>
  <si>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</si>
  <si>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</si>
  <si>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</si>
  <si>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</si>
  <si>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</si>
  <si>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</si>
  <si>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</si>
  <si>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</si>
  <si>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</si>
  <si>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</si>
  <si>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</si>
  <si>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</si>
  <si>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</si>
  <si>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</si>
  <si>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</si>
  <si>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</si>
  <si>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</si>
  <si>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</si>
  <si>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</si>
  <si>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</si>
  <si>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</si>
  <si>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</si>
  <si>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</si>
  <si>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</si>
  <si>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</si>
  <si>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</si>
  <si>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</si>
  <si>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</si>
  <si>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</si>
  <si>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</si>
  <si>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</si>
  <si>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</si>
  <si>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</si>
  <si>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</si>
  <si>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</si>
  <si>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</si>
  <si>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</si>
  <si>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</si>
  <si>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</si>
  <si>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</si>
  <si>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</si>
  <si>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</si>
  <si>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</si>
  <si>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</si>
  <si>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</si>
  <si>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</si>
  <si>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</si>
  <si>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</si>
  <si>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</si>
  <si>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</si>
  <si>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</si>
  <si>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</si>
  <si>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</si>
  <si>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</si>
  <si>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</si>
  <si>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</si>
  <si>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</si>
  <si>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</si>
  <si>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</si>
  <si>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</si>
  <si>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</si>
  <si>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</si>
  <si>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</si>
  <si>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</si>
  <si>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</si>
  <si>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</si>
  <si>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</si>
  <si>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</si>
  <si>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</si>
  <si>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</si>
  <si>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</si>
  <si>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</si>
  <si>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</si>
  <si>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</si>
  <si>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</si>
  <si>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</si>
  <si>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</si>
  <si>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</si>
  <si>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</si>
  <si>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</si>
  <si>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</si>
  <si>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</si>
  <si>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</si>
  <si>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</si>
  <si>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</si>
  <si>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</si>
  <si>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</si>
  <si>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</si>
  <si>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</si>
  <si>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</si>
  <si>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</si>
  <si>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</si>
  <si>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</si>
  <si>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</si>
  <si>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</si>
  <si>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</si>
  <si>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</si>
  <si>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</si>
  <si>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</si>
  <si>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</si>
  <si>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</si>
  <si>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</si>
  <si>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</si>
  <si>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</si>
  <si>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</si>
  <si>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</si>
  <si>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</si>
  <si>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</si>
  <si>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</si>
  <si>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</si>
  <si>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</si>
  <si>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</si>
  <si>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</si>
  <si>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</si>
  <si>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</si>
  <si>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</si>
  <si>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</si>
  <si>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</si>
  <si>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</si>
  <si>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</si>
  <si>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</si>
  <si>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</si>
  <si>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</si>
  <si>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</si>
  <si>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</si>
  <si>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</si>
  <si>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</si>
  <si>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</si>
  <si>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</si>
  <si>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</si>
  <si>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</si>
  <si>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</si>
  <si>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</si>
  <si>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</si>
  <si>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</si>
  <si>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</si>
  <si>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</si>
  <si>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</si>
  <si>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</si>
  <si>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</si>
  <si>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</si>
  <si>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</si>
  <si>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</si>
  <si>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</si>
  <si>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</si>
  <si>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</si>
  <si>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</si>
  <si>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</si>
  <si>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</si>
  <si>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</si>
  <si>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</si>
  <si>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</si>
  <si>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</si>
  <si>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</si>
  <si>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</si>
  <si>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</si>
  <si>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</si>
  <si>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</si>
  <si>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</si>
  <si>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</si>
  <si>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</si>
  <si>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</si>
  <si>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</si>
  <si>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</si>
  <si>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</si>
  <si>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</si>
  <si>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</si>
  <si>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</si>
  <si>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</si>
  <si>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</si>
  <si>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</si>
  <si>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</si>
  <si>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</si>
  <si>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</si>
  <si>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</si>
  <si>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</si>
  <si>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</si>
  <si>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</si>
  <si>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</si>
  <si>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</si>
  <si>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</si>
  <si>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</si>
  <si>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</si>
  <si>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</si>
  <si>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</si>
  <si>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</si>
  <si>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</si>
  <si>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</si>
  <si>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</si>
  <si>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</si>
  <si>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</si>
  <si>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</si>
  <si>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</si>
  <si>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</si>
  <si>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</si>
  <si>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</si>
  <si>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</si>
  <si>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</si>
  <si>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</si>
  <si>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</si>
  <si>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</si>
  <si>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</si>
  <si>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</si>
  <si>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</si>
  <si>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</si>
  <si>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</si>
  <si>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</si>
  <si>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</si>
  <si>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</si>
  <si>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</si>
  <si>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</si>
  <si>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</si>
  <si>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</si>
  <si>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</si>
  <si>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</si>
  <si>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</si>
  <si>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</si>
  <si>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</si>
  <si>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</si>
  <si>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</si>
  <si>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</si>
  <si>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</si>
  <si>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</si>
  <si>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</si>
  <si>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</si>
  <si>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</si>
  <si>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</si>
  <si>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</si>
  <si>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</si>
  <si>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</si>
  <si>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</si>
  <si>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</si>
  <si>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</si>
  <si>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</si>
  <si>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</si>
  <si>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</si>
  <si>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</si>
  <si>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</si>
  <si>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</si>
  <si>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</si>
  <si>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</si>
  <si>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</si>
  <si>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</si>
  <si>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</si>
  <si>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</si>
  <si>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</si>
  <si>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</si>
  <si>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</si>
  <si>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</si>
  <si>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</si>
  <si>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</si>
  <si>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</si>
  <si>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</si>
  <si>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</si>
  <si>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</si>
  <si>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</si>
  <si>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</si>
  <si>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</si>
  <si>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</si>
  <si>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</si>
  <si>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</si>
  <si>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</si>
  <si>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</si>
  <si>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</si>
  <si>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</si>
  <si>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</si>
  <si>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</si>
  <si>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</si>
  <si>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</si>
  <si>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</si>
  <si>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</si>
  <si>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</si>
  <si>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</si>
  <si>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</si>
  <si>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</si>
  <si>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</si>
  <si>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</si>
  <si>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</si>
  <si>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</si>
  <si>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</si>
  <si>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</si>
  <si>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</si>
  <si>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</si>
  <si>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</si>
  <si>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</si>
  <si>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</si>
  <si>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</si>
  <si>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</si>
  <si>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</si>
  <si>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</si>
  <si>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</si>
  <si>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</si>
  <si>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</si>
  <si>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</si>
  <si>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</si>
  <si>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</si>
  <si>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</si>
  <si>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</si>
  <si>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</si>
  <si>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</si>
  <si>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</si>
  <si>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</si>
  <si>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</si>
  <si>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</si>
  <si>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</si>
  <si>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</si>
  <si>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</si>
  <si>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</si>
  <si>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</si>
  <si>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</si>
  <si>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</si>
  <si>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</si>
  <si>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</si>
  <si>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</si>
  <si>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</si>
  <si>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</si>
  <si>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</si>
  <si>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</si>
  <si>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</si>
  <si>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</si>
  <si>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</si>
  <si>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</si>
  <si>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</si>
  <si>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</si>
  <si>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</si>
  <si>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</si>
  <si>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</si>
  <si>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</si>
  <si>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</si>
  <si>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</si>
  <si>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</si>
  <si>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</si>
  <si>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</si>
  <si>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</si>
  <si>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</si>
  <si>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</si>
  <si>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</si>
  <si>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</si>
  <si>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</si>
  <si>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</si>
  <si>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</si>
  <si>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</si>
  <si>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</si>
  <si>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</si>
  <si>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</si>
  <si>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</si>
  <si>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</si>
  <si>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</si>
  <si>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</si>
  <si>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</si>
  <si>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</si>
  <si>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</si>
  <si>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</si>
  <si>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</si>
  <si>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</si>
  <si>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</si>
  <si>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</si>
  <si>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</si>
  <si>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</si>
  <si>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</si>
  <si>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</si>
  <si>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</si>
  <si>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</si>
  <si>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</si>
  <si>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</si>
  <si>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</si>
  <si>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</si>
  <si>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</si>
  <si>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</si>
  <si>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</si>
  <si>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</si>
  <si>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</si>
  <si>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</si>
  <si>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</si>
  <si>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</si>
  <si>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</si>
  <si>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</si>
  <si>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</si>
  <si>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</si>
  <si>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</si>
  <si>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</si>
  <si>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</si>
  <si>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</si>
  <si>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</si>
  <si>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</si>
  <si>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</si>
  <si>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</si>
  <si>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</si>
  <si>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</si>
  <si>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</si>
  <si>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</si>
  <si>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</si>
  <si>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</si>
  <si>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</si>
  <si>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</si>
  <si>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</si>
  <si>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</si>
  <si>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</si>
  <si>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</si>
  <si>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</si>
  <si>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</si>
  <si>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</si>
  <si>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</si>
  <si>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</si>
  <si>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</si>
  <si>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</si>
  <si>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</si>
  <si>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</si>
  <si>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</si>
  <si>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</si>
  <si>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</si>
  <si>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</si>
  <si>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</si>
  <si>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</si>
  <si>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</si>
  <si>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</si>
  <si>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</si>
  <si>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</si>
  <si>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</si>
  <si>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</si>
  <si>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</si>
  <si>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</si>
  <si>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</si>
  <si>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</si>
  <si>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</si>
  <si>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</si>
  <si>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</si>
  <si>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</si>
  <si>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</si>
  <si>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</si>
  <si>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</si>
  <si>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</si>
  <si>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</si>
  <si>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</si>
  <si>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</si>
  <si>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</si>
  <si>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</si>
  <si>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</si>
  <si>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</si>
  <si>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</si>
  <si>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</si>
  <si>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</si>
  <si>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</si>
  <si>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</si>
  <si>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</si>
  <si>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</si>
  <si>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</si>
  <si>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</si>
  <si>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</si>
  <si>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</si>
  <si>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</si>
  <si>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</si>
  <si>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</si>
  <si>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</si>
  <si>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</si>
  <si>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</si>
  <si>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</si>
  <si>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</si>
  <si>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</si>
  <si>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</si>
  <si>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</si>
  <si>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</si>
  <si>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</si>
  <si>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</si>
  <si>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</si>
  <si>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</si>
  <si>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</si>
  <si>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</si>
  <si>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</si>
  <si>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</si>
  <si>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</si>
  <si>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</si>
  <si>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</si>
  <si>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</si>
  <si>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</si>
  <si>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</si>
  <si>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</si>
  <si>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</si>
  <si>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</si>
  <si>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</si>
  <si>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</si>
  <si>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</si>
  <si>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</si>
  <si>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</si>
  <si>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</si>
  <si>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</si>
  <si>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</si>
  <si>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</si>
  <si>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</si>
  <si>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</si>
  <si>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</si>
  <si>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</si>
  <si>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</si>
  <si>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</si>
  <si>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</si>
  <si>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</si>
  <si>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</si>
  <si>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</si>
  <si>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</si>
  <si>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</si>
  <si>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</si>
  <si>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</si>
  <si>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</si>
  <si>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</si>
  <si>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</si>
  <si>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</si>
  <si>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</si>
  <si>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</si>
  <si>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</si>
  <si>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</si>
  <si>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</si>
  <si>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</si>
  <si>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</si>
  <si>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</si>
  <si>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</si>
  <si>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</si>
  <si>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</si>
  <si>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</si>
  <si>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</si>
  <si>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</si>
  <si>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</si>
  <si>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</si>
  <si>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</si>
  <si>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</si>
  <si>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</si>
  <si>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</si>
  <si>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</si>
  <si>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</si>
  <si>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</si>
  <si>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</si>
  <si>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</si>
  <si>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</si>
  <si>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</si>
  <si>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</si>
  <si>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</si>
  <si>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</si>
  <si>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</si>
  <si>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</si>
  <si>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</si>
  <si>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</si>
  <si>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</si>
  <si>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</si>
  <si>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</si>
  <si>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</si>
  <si>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</si>
  <si>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</si>
  <si>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</si>
  <si>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</si>
  <si>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</si>
  <si>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</si>
  <si>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</si>
  <si>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</si>
  <si>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</si>
  <si>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</si>
  <si>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</si>
  <si>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</si>
  <si>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</si>
  <si>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</si>
  <si>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</si>
  <si>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</si>
  <si>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</si>
  <si>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</si>
  <si>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</si>
  <si>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</si>
  <si>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</si>
  <si>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</si>
  <si>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</si>
  <si>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</si>
  <si>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</si>
  <si>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</si>
  <si>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</si>
  <si>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</si>
  <si>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</si>
  <si>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</si>
  <si>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</si>
  <si>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</si>
  <si>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</si>
  <si>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</si>
  <si>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</si>
  <si>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</si>
  <si>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</si>
  <si>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</si>
  <si>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</si>
  <si>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</si>
  <si>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</si>
  <si>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</si>
  <si>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</si>
  <si>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</si>
  <si>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</si>
  <si>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</si>
  <si>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</si>
  <si>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</si>
  <si>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</si>
  <si>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</si>
  <si>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</si>
  <si>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</si>
  <si>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</si>
  <si>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</si>
  <si>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</si>
  <si>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</si>
  <si>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</si>
  <si>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</si>
  <si>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</si>
  <si>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</si>
  <si>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</si>
  <si>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</si>
  <si>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</si>
  <si>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</si>
  <si>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</si>
  <si>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</si>
  <si>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</si>
  <si>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</si>
  <si>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</si>
  <si>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</si>
  <si>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</si>
  <si>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</si>
  <si>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</si>
  <si>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</si>
  <si>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</si>
  <si>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</si>
  <si>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</si>
  <si>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</si>
  <si>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</si>
  <si>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</si>
  <si>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</si>
  <si>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</si>
  <si>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</si>
  <si>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</si>
  <si>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</si>
  <si>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</si>
  <si>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</si>
  <si>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</si>
  <si>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</si>
  <si>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</si>
  <si>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</si>
  <si>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</si>
  <si>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</si>
  <si>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</si>
  <si>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</si>
  <si>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</si>
  <si>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</si>
  <si>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</si>
  <si>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</si>
  <si>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</si>
  <si>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</si>
  <si>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</si>
  <si>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</si>
  <si>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</si>
  <si>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</si>
  <si>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</si>
  <si>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</si>
  <si>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</si>
  <si>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</si>
  <si>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</si>
  <si>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</si>
  <si>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</si>
  <si>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</si>
  <si>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</si>
  <si>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</si>
  <si>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</si>
  <si>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</si>
  <si>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</si>
  <si>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</si>
  <si>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</si>
  <si>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</si>
  <si>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</si>
  <si>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</si>
  <si>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</si>
  <si>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</si>
  <si>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</si>
  <si>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</si>
  <si>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</si>
  <si>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</si>
  <si>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</si>
  <si>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</si>
  <si>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</si>
  <si>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</si>
  <si>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</si>
  <si>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</si>
  <si>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</si>
  <si>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</si>
  <si>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</si>
  <si>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</si>
  <si>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</si>
  <si>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</si>
  <si>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</si>
  <si>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</si>
  <si>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</si>
  <si>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</si>
  <si>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</si>
  <si>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</si>
  <si>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</si>
  <si>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</si>
  <si>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</si>
  <si>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</si>
  <si>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</si>
  <si>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</si>
  <si>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</si>
  <si>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</si>
  <si>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</si>
  <si>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</si>
  <si>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</si>
  <si>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</si>
  <si>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</si>
  <si>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</si>
  <si>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</si>
  <si>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</si>
  <si>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</si>
  <si>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</si>
  <si>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</si>
  <si>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</si>
  <si>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</si>
  <si>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</si>
  <si>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</si>
  <si>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</si>
  <si>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</si>
  <si>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</si>
  <si>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</si>
  <si>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</si>
  <si>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</si>
  <si>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</si>
  <si>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</si>
  <si>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</si>
  <si>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</si>
  <si>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</si>
  <si>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</si>
  <si>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</si>
  <si>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</si>
  <si>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</si>
  <si>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</si>
  <si>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</si>
  <si>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</si>
  <si>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</si>
  <si>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</si>
  <si>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</si>
  <si>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</si>
  <si>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</si>
  <si>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</si>
  <si>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</si>
  <si>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</si>
  <si>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</si>
  <si>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</si>
  <si>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</si>
  <si>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</si>
  <si>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</si>
  <si>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</si>
  <si>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</si>
  <si>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</si>
  <si>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</si>
  <si>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</si>
  <si>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</si>
  <si>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</si>
  <si>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</si>
  <si>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</si>
  <si>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</si>
  <si>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</si>
  <si>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</si>
  <si>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</si>
  <si>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</si>
  <si>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</si>
  <si>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</si>
  <si>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</si>
  <si>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</si>
  <si>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</si>
  <si>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</si>
  <si>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</si>
  <si>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</si>
  <si>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</si>
  <si>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</si>
  <si>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</si>
  <si>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</si>
  <si>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</si>
  <si>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</si>
  <si>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</si>
  <si>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</si>
  <si>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</si>
  <si>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</si>
  <si>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</si>
  <si>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</si>
  <si>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</si>
  <si>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</si>
  <si>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</si>
  <si>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</si>
  <si>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</si>
  <si>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</si>
  <si>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</si>
  <si>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</si>
  <si>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</si>
  <si>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</si>
  <si>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</si>
  <si>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</si>
  <si>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</si>
  <si>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</si>
  <si>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</si>
  <si>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</si>
  <si>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</si>
  <si>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</si>
  <si>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</si>
  <si>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</si>
  <si>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</si>
  <si>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</si>
  <si>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</si>
  <si>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</si>
  <si>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</si>
  <si>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</si>
  <si>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</si>
  <si>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</si>
  <si>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</si>
  <si>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</si>
  <si>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</si>
  <si>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</si>
  <si>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</si>
  <si>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</si>
  <si>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</si>
  <si>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</si>
  <si>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</si>
  <si>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</si>
  <si>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</si>
  <si>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</si>
  <si>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</si>
  <si>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</si>
  <si>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</si>
  <si>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</si>
  <si>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</si>
  <si>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</si>
  <si>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</si>
  <si>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</si>
  <si>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</si>
  <si>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</si>
  <si>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</si>
  <si>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</si>
  <si>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</si>
  <si>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</si>
  <si>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</si>
  <si>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</si>
  <si>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</si>
  <si>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</si>
  <si>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</si>
  <si>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</si>
  <si>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</si>
  <si>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</si>
  <si>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</si>
  <si>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</si>
  <si>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</si>
  <si>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</si>
  <si>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</si>
  <si>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</si>
  <si>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</si>
  <si>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</si>
  <si>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</si>
  <si>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</si>
  <si>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</si>
  <si>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</si>
  <si>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</si>
  <si>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</si>
  <si>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</si>
  <si>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</si>
  <si>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</si>
  <si>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</si>
  <si>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</si>
  <si>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</si>
  <si>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</si>
  <si>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</si>
  <si>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</si>
  <si>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</si>
  <si>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</si>
  <si>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</si>
  <si>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</si>
  <si>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</si>
  <si>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</si>
  <si>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</si>
  <si>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</si>
  <si>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</si>
  <si>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</si>
  <si>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</si>
  <si>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</si>
  <si>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</si>
  <si>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</si>
  <si>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</si>
  <si>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</si>
  <si>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</si>
  <si>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</si>
  <si>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</si>
  <si>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</si>
  <si>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</si>
  <si>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</si>
  <si>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</si>
  <si>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</si>
  <si>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</si>
  <si>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</si>
  <si>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</si>
  <si>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</si>
  <si>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</si>
  <si>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</si>
  <si>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</si>
  <si>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</si>
  <si>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</si>
  <si>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</si>
  <si>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</si>
  <si>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</si>
  <si>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</si>
  <si>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</si>
  <si>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</si>
  <si>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</si>
  <si>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</si>
  <si>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</si>
  <si>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</si>
  <si>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</si>
  <si>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</si>
  <si>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</si>
  <si>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</si>
  <si>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</si>
  <si>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</si>
  <si>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</si>
  <si>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</si>
  <si>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</si>
  <si>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</si>
  <si>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</si>
  <si>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</si>
  <si>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</si>
  <si>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</si>
  <si>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</si>
  <si>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</si>
  <si>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</si>
  <si>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</si>
  <si>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</si>
  <si>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</si>
  <si>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</si>
  <si>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</si>
  <si>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</si>
  <si>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</si>
  <si>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</si>
  <si>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</si>
  <si>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</si>
  <si>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</si>
  <si>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</si>
  <si>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</si>
  <si>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</si>
  <si>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</si>
  <si>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</si>
  <si>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</si>
  <si>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</si>
  <si>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</si>
  <si>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</si>
  <si>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</si>
  <si>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</si>
  <si>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</si>
  <si>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</si>
  <si>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</si>
  <si>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</si>
  <si>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</si>
  <si>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</si>
  <si>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</si>
  <si>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</si>
  <si>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</si>
  <si>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</si>
  <si>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</si>
  <si>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</si>
  <si>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</si>
  <si>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</si>
  <si>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</si>
  <si>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</si>
  <si>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</si>
  <si>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</si>
  <si>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</si>
  <si>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</si>
  <si>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</si>
  <si>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</si>
  <si>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</si>
  <si>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</si>
  <si>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</si>
  <si>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</si>
  <si>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</si>
  <si>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</si>
  <si>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</si>
  <si>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</si>
  <si>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</si>
  <si>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</si>
  <si>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</si>
  <si>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</si>
  <si>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</si>
  <si>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</si>
  <si>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</si>
  <si>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</si>
  <si>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</si>
  <si>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</si>
  <si>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</si>
  <si>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</si>
  <si>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</si>
  <si>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</si>
  <si>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</si>
  <si>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</si>
  <si>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</si>
  <si>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</si>
  <si>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</si>
  <si>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</si>
  <si>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</si>
  <si>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</si>
  <si>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</si>
  <si>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</si>
  <si>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</si>
  <si>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</si>
  <si>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</si>
  <si>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</si>
  <si>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</si>
  <si>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</si>
  <si>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</si>
  <si>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</si>
  <si>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</si>
  <si>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</si>
  <si>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</si>
  <si>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</si>
  <si>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</si>
  <si>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</si>
  <si>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</si>
  <si>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</si>
  <si>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</si>
  <si>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</si>
  <si>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</si>
  <si>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</si>
  <si>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</si>
  <si>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</si>
  <si>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</si>
  <si>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</si>
  <si>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</si>
  <si>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</si>
  <si>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</si>
  <si>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</si>
  <si>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</si>
  <si>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</si>
  <si>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</si>
  <si>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</si>
  <si>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</si>
  <si>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</si>
  <si>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</si>
  <si>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</si>
  <si>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</si>
  <si>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</si>
  <si>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</si>
  <si>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</si>
  <si>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</si>
  <si>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</si>
  <si>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</si>
  <si>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</si>
  <si>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</si>
  <si>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</si>
  <si>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</si>
  <si>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</si>
  <si>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</si>
  <si>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</si>
  <si>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</si>
  <si>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</si>
  <si>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</si>
  <si>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</si>
  <si>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</si>
  <si>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</si>
  <si>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</si>
  <si>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</si>
  <si>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</si>
  <si>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</si>
  <si>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</si>
  <si>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</si>
  <si>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</si>
  <si>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</si>
  <si>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</si>
  <si>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</si>
  <si>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</si>
  <si>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</si>
  <si>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</si>
  <si>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</si>
  <si>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</si>
  <si>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</si>
  <si>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</si>
  <si>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</si>
  <si>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</si>
  <si>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</si>
  <si>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</si>
  <si>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</si>
  <si>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</si>
  <si>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</si>
  <si>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</si>
  <si>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</si>
  <si>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</si>
  <si>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</si>
  <si>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</si>
  <si>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</si>
  <si>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</si>
  <si>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</si>
  <si>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</si>
  <si>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</si>
  <si>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</si>
  <si>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</si>
  <si>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</si>
  <si>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</si>
  <si>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</si>
  <si>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</si>
  <si>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</si>
  <si>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</si>
  <si>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</si>
  <si>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</si>
  <si>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</si>
  <si>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</si>
  <si>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</si>
  <si>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</si>
  <si>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</si>
  <si>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</si>
  <si>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</si>
  <si>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</si>
  <si>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</si>
  <si>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</si>
  <si>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</si>
  <si>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</si>
  <si>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</si>
  <si>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</si>
  <si>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</si>
  <si>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</si>
  <si>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</si>
  <si>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</si>
  <si>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</si>
  <si>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</si>
  <si>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</si>
  <si>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</si>
  <si>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</si>
  <si>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</si>
  <si>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</si>
  <si>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</si>
  <si>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</si>
  <si>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</si>
  <si>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</si>
  <si>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</si>
  <si>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</si>
  <si>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</si>
  <si>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</si>
  <si>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</si>
  <si>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</si>
  <si>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</si>
  <si>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</si>
  <si>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</si>
  <si>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</si>
  <si>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</si>
  <si>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</si>
  <si>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</si>
  <si>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</si>
  <si>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</si>
  <si>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</si>
  <si>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</si>
  <si>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</si>
  <si>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</si>
  <si>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</si>
  <si>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</si>
  <si>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</si>
  <si>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</si>
  <si>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</si>
  <si>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</si>
  <si>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</si>
  <si>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</si>
  <si>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</si>
  <si>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</si>
  <si>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</si>
  <si>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</si>
  <si>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</si>
  <si>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</si>
  <si>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</si>
  <si>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</si>
  <si>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</si>
  <si>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</si>
  <si>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</si>
  <si>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</si>
  <si>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</si>
  <si>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</si>
  <si>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</si>
  <si>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</si>
  <si>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</si>
  <si>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</si>
  <si>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</si>
  <si>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</si>
  <si>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</si>
  <si>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</si>
  <si>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</si>
  <si>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</si>
  <si>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</si>
  <si>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</si>
  <si>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</si>
  <si>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</si>
  <si>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</si>
  <si>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</si>
  <si>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</si>
  <si>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</si>
  <si>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</si>
  <si>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</si>
  <si>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</si>
  <si>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</si>
  <si>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</si>
  <si>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</si>
  <si>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</si>
  <si>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</si>
  <si>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</si>
  <si>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</si>
  <si>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</si>
  <si>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</si>
  <si>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</si>
  <si>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</si>
  <si>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</si>
  <si>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</si>
  <si>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</si>
  <si>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</si>
  <si>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</si>
  <si>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</si>
  <si>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</si>
  <si>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</si>
  <si>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</si>
  <si>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</si>
  <si>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</si>
  <si>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</si>
  <si>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</si>
  <si>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</si>
  <si>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</si>
  <si>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</si>
  <si>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</si>
  <si>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</si>
  <si>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</si>
  <si>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</si>
  <si>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</si>
  <si>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</si>
  <si>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</si>
  <si>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</si>
  <si>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</si>
  <si>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</si>
  <si>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</si>
  <si>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</si>
  <si>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</si>
  <si>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</si>
  <si>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</si>
  <si>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</si>
  <si>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</si>
  <si>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</si>
  <si>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</si>
  <si>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</si>
  <si>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</si>
  <si>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</si>
  <si>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</si>
  <si>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</si>
  <si>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</si>
  <si>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</si>
  <si>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</si>
  <si>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</si>
  <si>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</si>
  <si>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</si>
  <si>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</si>
  <si>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</si>
  <si>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</si>
  <si>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</si>
  <si>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</si>
  <si>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</si>
  <si>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</si>
  <si>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</si>
  <si>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</si>
  <si>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</si>
  <si>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</si>
  <si>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</si>
  <si>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</si>
  <si>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</si>
  <si>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</si>
  <si>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</si>
  <si>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</si>
  <si>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</si>
  <si>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</si>
  <si>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</si>
  <si>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</si>
  <si>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</si>
  <si>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</si>
  <si>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</si>
  <si>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</si>
  <si>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</si>
  <si>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</si>
  <si>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</si>
  <si>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</si>
  <si>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</si>
  <si>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</si>
  <si>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</si>
  <si>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</si>
  <si>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</si>
  <si>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</si>
  <si>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</si>
  <si>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</si>
  <si>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</si>
  <si>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</si>
  <si>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</si>
  <si>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</si>
  <si>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</si>
  <si>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</si>
  <si>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</si>
  <si>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</si>
  <si>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</si>
  <si>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</si>
  <si>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</si>
  <si>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</si>
  <si>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</si>
  <si>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</si>
  <si>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</si>
  <si>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</si>
  <si>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</si>
  <si>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</si>
  <si>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</si>
  <si>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</si>
  <si>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</si>
  <si>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</si>
  <si>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</si>
  <si>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</si>
  <si>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</si>
  <si>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</si>
  <si>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</si>
  <si>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</si>
  <si>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</si>
  <si>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</si>
  <si>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</si>
  <si>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</si>
  <si>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</si>
  <si>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</si>
  <si>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</si>
  <si>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</si>
  <si>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</si>
  <si>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</si>
  <si>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</si>
  <si>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</si>
  <si>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</si>
  <si>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</si>
  <si>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</si>
  <si>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</si>
  <si>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</si>
  <si>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</si>
  <si>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</si>
  <si>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</si>
  <si>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</si>
  <si>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</si>
  <si>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</si>
  <si>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</si>
  <si>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</si>
  <si>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</si>
  <si>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</si>
  <si>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</si>
  <si>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</si>
  <si>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</si>
  <si>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</si>
  <si>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</si>
  <si>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</si>
  <si>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</si>
  <si>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</si>
  <si>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</si>
  <si>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</si>
  <si>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</si>
  <si>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</si>
  <si>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</si>
  <si>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</si>
  <si>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</si>
  <si>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</si>
  <si>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</si>
  <si>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</si>
  <si>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</si>
  <si>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</si>
  <si>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</si>
  <si>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</si>
  <si>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</si>
  <si>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</si>
  <si>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</si>
  <si>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</si>
  <si>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</si>
  <si>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</si>
  <si>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</si>
  <si>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</si>
  <si>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</si>
  <si>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</si>
  <si>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</si>
  <si>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</si>
  <si>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</si>
  <si>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</si>
  <si>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</si>
  <si>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</si>
  <si>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</si>
  <si>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</si>
  <si>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</si>
  <si>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</si>
  <si>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</si>
  <si>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</si>
  <si>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</si>
  <si>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</si>
  <si>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</si>
  <si>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</si>
  <si>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</si>
  <si>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</si>
  <si>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</si>
  <si>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</si>
  <si>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</si>
  <si>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</si>
  <si>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</si>
  <si>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</si>
  <si>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</si>
  <si>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</si>
  <si>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</si>
  <si>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</si>
  <si>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</si>
  <si>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</si>
  <si>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</si>
  <si>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</si>
  <si>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</si>
  <si>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</si>
  <si>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</si>
  <si>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</si>
  <si>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</si>
  <si>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</si>
  <si>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</si>
  <si>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</si>
  <si>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</si>
  <si>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</si>
  <si>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</si>
  <si>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</si>
  <si>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</si>
  <si>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</si>
  <si>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</si>
  <si>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</si>
  <si>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</si>
  <si>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</si>
  <si>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</si>
  <si>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</si>
  <si>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</si>
  <si>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</si>
  <si>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</si>
  <si>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</si>
  <si>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</si>
  <si>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</si>
  <si>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</si>
  <si>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</si>
  <si>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</si>
  <si>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</si>
  <si>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</si>
  <si>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</si>
  <si>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</si>
  <si>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</si>
  <si>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</si>
  <si>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</si>
  <si>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</si>
  <si>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</si>
  <si>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</si>
  <si>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</si>
  <si>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</si>
  <si>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</si>
  <si>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</si>
  <si>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</si>
  <si>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</si>
  <si>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</si>
  <si>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</si>
  <si>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</si>
  <si>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</si>
  <si>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</si>
  <si>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</si>
  <si>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</si>
  <si>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</si>
  <si>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</si>
  <si>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</si>
  <si>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</si>
  <si>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</si>
  <si>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</si>
  <si>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</si>
  <si>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</si>
  <si>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</si>
  <si>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</si>
  <si>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</si>
  <si>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</si>
  <si>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</si>
  <si>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</si>
  <si>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</si>
  <si>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</si>
  <si>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</si>
  <si>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</si>
  <si>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</si>
  <si>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</si>
  <si>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</si>
  <si>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</si>
  <si>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</si>
  <si>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</si>
  <si>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</si>
  <si>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</si>
  <si>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</si>
  <si>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</si>
  <si>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</si>
  <si>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</si>
  <si>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</si>
  <si>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</si>
  <si>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</si>
  <si>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</si>
  <si>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</si>
  <si>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</si>
  <si>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</si>
  <si>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</si>
  <si>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</si>
  <si>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</si>
  <si>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</si>
  <si>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</si>
  <si>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</si>
  <si>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</si>
  <si>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</si>
  <si>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</si>
  <si>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</si>
  <si>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</si>
  <si>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</si>
  <si>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</si>
  <si>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</si>
  <si>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</si>
  <si>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</si>
  <si>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</si>
  <si>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</si>
  <si>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</si>
  <si>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</si>
  <si>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</si>
  <si>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</si>
  <si>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</si>
  <si>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</si>
  <si>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</si>
  <si>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</si>
  <si>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</si>
  <si>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</si>
  <si>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</si>
  <si>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</si>
  <si>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</si>
  <si>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</si>
  <si>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</si>
  <si>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</si>
  <si>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</si>
  <si>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</si>
  <si>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</si>
  <si>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</si>
  <si>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</si>
  <si>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</si>
  <si>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</si>
  <si>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</si>
  <si>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</si>
  <si>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</si>
  <si>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</si>
  <si>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</si>
  <si>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</si>
  <si>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</si>
  <si>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</si>
  <si>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</si>
  <si>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</si>
  <si>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</si>
  <si>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</si>
  <si>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</si>
  <si>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</si>
  <si>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</si>
  <si>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</si>
  <si>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</si>
  <si>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</si>
  <si>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</si>
  <si>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</si>
  <si>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</si>
  <si>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</si>
  <si>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</si>
  <si>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</si>
  <si>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</si>
  <si>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</si>
  <si>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</si>
  <si>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</si>
  <si>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</si>
  <si>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</si>
  <si>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</si>
  <si>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</si>
  <si>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</si>
  <si>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</si>
  <si>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</si>
  <si>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</si>
  <si>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</si>
  <si>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</si>
  <si>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</si>
  <si>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</si>
  <si>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</si>
  <si>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</si>
  <si>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</si>
  <si>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</si>
  <si>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</si>
  <si>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</si>
  <si>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</si>
  <si>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</si>
  <si>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</si>
  <si>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</si>
  <si>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</si>
  <si>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</si>
  <si>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</si>
  <si>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</si>
  <si>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</si>
  <si>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</si>
  <si>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</si>
  <si>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</si>
  <si>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</si>
  <si>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</si>
  <si>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</si>
  <si>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</si>
  <si>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</si>
  <si>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</si>
  <si>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</si>
  <si>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</si>
  <si>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</si>
  <si>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</si>
  <si>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</si>
  <si>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</si>
  <si>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</si>
  <si>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</si>
  <si>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</si>
  <si>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</si>
  <si>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</si>
  <si>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</si>
  <si>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</si>
  <si>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</si>
  <si>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</si>
  <si>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</si>
  <si>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</si>
  <si>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</si>
  <si>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</si>
  <si>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</si>
  <si>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</si>
  <si>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</si>
  <si>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</si>
  <si>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</si>
  <si>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</si>
  <si>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</si>
  <si>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</si>
  <si>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</si>
  <si>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</si>
  <si>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</si>
  <si>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</si>
  <si>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</si>
  <si>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</si>
  <si>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</si>
  <si>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</si>
  <si>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</si>
  <si>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</si>
  <si>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</si>
  <si>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</si>
  <si>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</si>
  <si>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</si>
  <si>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</si>
  <si>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</si>
  <si>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</si>
  <si>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</si>
  <si>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</si>
  <si>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</si>
  <si>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</si>
  <si>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</si>
  <si>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</si>
  <si>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</si>
  <si>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</si>
  <si>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</si>
  <si>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</si>
  <si>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</si>
  <si>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</si>
  <si>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</si>
  <si>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</si>
  <si>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</si>
  <si>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</si>
  <si>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</si>
  <si>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</si>
  <si>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</si>
  <si>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</si>
  <si>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</si>
  <si>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</si>
  <si>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</si>
  <si>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</si>
  <si>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</si>
  <si>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</si>
  <si>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</si>
  <si>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</si>
  <si>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</si>
  <si>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</si>
  <si>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</si>
  <si>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</si>
  <si>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</si>
  <si>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</si>
  <si>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</si>
  <si>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</si>
  <si>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</si>
  <si>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</si>
  <si>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</si>
  <si>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</si>
  <si>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</si>
  <si>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</si>
  <si>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</si>
  <si>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Native American Heritage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</si>
</sst>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106" zoomScale="70" zoomScaleNormal="70" workbookViewId="0">
      <selection activeCell="K69" sqref="K69"/>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1715</v>
      </c>
      <c r="G4" s="191"/>
      <c r="H4" s="191"/>
      <c r="I4" s="191"/>
    </row>
    <row r="5" spans="1:20" ht="16.5" customHeight="1" x14ac:dyDescent="0.2">
      <c r="A5" s="189" t="s">
        <v>1615</v>
      </c>
      <c r="B5" s="189"/>
      <c r="C5" s="189"/>
      <c r="D5" s="189"/>
      <c r="E5" s="189"/>
      <c r="F5" s="191" t="s">
        <v>754</v>
      </c>
      <c r="G5" s="191"/>
      <c r="H5" s="191"/>
      <c r="I5" s="191"/>
      <c r="L5" s="12"/>
      <c r="M5" s="12"/>
      <c r="N5" s="12"/>
      <c r="O5" s="12"/>
      <c r="P5" s="12"/>
      <c r="Q5" s="12"/>
    </row>
    <row r="6" spans="1:20" ht="16.5" customHeight="1" x14ac:dyDescent="0.25">
      <c r="A6" s="189" t="s">
        <v>1634</v>
      </c>
      <c r="B6" s="189"/>
      <c r="C6" s="189"/>
      <c r="D6" s="189"/>
      <c r="E6" s="189"/>
      <c r="F6" s="192">
        <v>1</v>
      </c>
      <c r="G6" s="192"/>
      <c r="H6" s="192"/>
      <c r="I6" s="192"/>
      <c r="L6" s="13"/>
      <c r="M6" s="13"/>
      <c r="N6" s="13"/>
      <c r="O6" s="13"/>
      <c r="P6" s="12"/>
      <c r="Q6" s="12"/>
    </row>
    <row r="7" spans="1:20" ht="16.5" customHeight="1" x14ac:dyDescent="0.25">
      <c r="A7" s="189" t="s">
        <v>1</v>
      </c>
      <c r="B7" s="189"/>
      <c r="C7" s="189"/>
      <c r="D7" s="189"/>
      <c r="E7" s="189"/>
      <c r="F7" s="192" t="s">
        <v>120</v>
      </c>
      <c r="G7" s="192"/>
      <c r="H7" s="192"/>
      <c r="I7" s="192"/>
      <c r="K7" s="53"/>
      <c r="L7" s="13"/>
      <c r="M7" s="13"/>
      <c r="N7" s="13"/>
      <c r="O7" s="13"/>
      <c r="P7" s="12"/>
      <c r="Q7" s="12"/>
    </row>
    <row r="8" spans="1:20" ht="16.5" customHeight="1" x14ac:dyDescent="0.25">
      <c r="A8" s="189" t="s">
        <v>1616</v>
      </c>
      <c r="B8" s="189"/>
      <c r="C8" s="189"/>
      <c r="D8" s="189"/>
      <c r="E8" s="189"/>
      <c r="F8" s="192" t="s">
        <v>154</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Fund",VLOOKUP(F5,qryIndex02a!$A$2:$K$654,4,FALSE)),"Unidentified")</f>
        <v>RESOURCES</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0</v>
      </c>
      <c r="M15" s="143">
        <v>0</v>
      </c>
      <c r="P15" s="143">
        <v>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v>0</v>
      </c>
      <c r="P16" s="143">
        <v>0</v>
      </c>
      <c r="Q16" s="155"/>
      <c r="S16" s="154">
        <f t="shared" si="0"/>
        <v>0</v>
      </c>
      <c r="T16" s="180" t="s">
        <v>1684</v>
      </c>
    </row>
    <row r="17" spans="1:20" ht="16.5" customHeight="1" x14ac:dyDescent="0.25">
      <c r="A17" s="159" t="s">
        <v>1637</v>
      </c>
      <c r="B17" s="9" t="s">
        <v>172</v>
      </c>
      <c r="C17" s="9"/>
      <c r="D17" s="9"/>
      <c r="E17" s="140"/>
      <c r="F17" s="141"/>
      <c r="G17" s="141"/>
      <c r="H17" s="142"/>
      <c r="I17" s="142"/>
      <c r="J17" s="178">
        <f>M17</f>
        <v>797101</v>
      </c>
      <c r="M17" s="143">
        <v>797101</v>
      </c>
      <c r="P17" s="143">
        <v>797101</v>
      </c>
      <c r="Q17" s="155"/>
      <c r="S17" s="154">
        <f t="shared" si="0"/>
        <v>0</v>
      </c>
      <c r="T17" s="180" t="s">
        <v>1684</v>
      </c>
    </row>
    <row r="18" spans="1:20" ht="16.5" customHeight="1" x14ac:dyDescent="0.25">
      <c r="A18" s="54"/>
      <c r="B18" s="9" t="s">
        <v>168</v>
      </c>
      <c r="C18" s="9"/>
      <c r="D18" s="9"/>
      <c r="E18" s="140"/>
      <c r="F18" s="141"/>
      <c r="G18" s="141"/>
      <c r="H18" s="142"/>
      <c r="I18" s="142"/>
      <c r="J18" s="178">
        <f>P18</f>
        <v>9321</v>
      </c>
      <c r="M18" s="143">
        <v>9321</v>
      </c>
      <c r="P18" s="152">
        <f>IF(SUM($Q$20:$Q$23)&gt;SUM($P$15:$P$17),SUM($Q$20:$Q$23)-SUM($P$15:$P$17),0)</f>
        <v>9321</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v>0</v>
      </c>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v>0</v>
      </c>
      <c r="P20" s="155"/>
      <c r="Q20" s="143">
        <v>0</v>
      </c>
      <c r="S20" s="154">
        <f>Q20-N20</f>
        <v>0</v>
      </c>
      <c r="T20" s="179" t="s">
        <v>1668</v>
      </c>
    </row>
    <row r="21" spans="1:20" ht="16.5" customHeight="1" x14ac:dyDescent="0.25">
      <c r="A21" s="54"/>
      <c r="B21" s="9"/>
      <c r="C21" s="9" t="s">
        <v>174</v>
      </c>
      <c r="D21" s="9"/>
      <c r="E21" s="140"/>
      <c r="F21" s="141"/>
      <c r="G21" s="141"/>
      <c r="H21" s="142"/>
      <c r="I21" s="142"/>
      <c r="J21" s="150"/>
      <c r="K21" s="178">
        <f>N21</f>
        <v>0</v>
      </c>
      <c r="N21" s="143">
        <v>0</v>
      </c>
      <c r="P21" s="155"/>
      <c r="Q21" s="143">
        <v>0</v>
      </c>
      <c r="S21" s="154">
        <f>Q21-N21</f>
        <v>0</v>
      </c>
      <c r="T21" s="179" t="s">
        <v>1668</v>
      </c>
    </row>
    <row r="22" spans="1:20" ht="16.5" customHeight="1" x14ac:dyDescent="0.25">
      <c r="A22" s="54"/>
      <c r="B22" s="9"/>
      <c r="C22" s="9" t="s">
        <v>178</v>
      </c>
      <c r="D22" s="9"/>
      <c r="E22" s="140"/>
      <c r="F22" s="141"/>
      <c r="G22" s="141"/>
      <c r="H22" s="142"/>
      <c r="I22" s="142"/>
      <c r="J22" s="150"/>
      <c r="K22" s="178">
        <f>N22</f>
        <v>455486</v>
      </c>
      <c r="N22" s="143">
        <v>455486</v>
      </c>
      <c r="P22" s="155"/>
      <c r="Q22" s="143">
        <v>455486</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350936</v>
      </c>
      <c r="N23" s="143">
        <v>350936</v>
      </c>
      <c r="P23" s="155"/>
      <c r="Q23" s="143">
        <v>350936</v>
      </c>
      <c r="S23" s="154">
        <f t="shared" si="1"/>
        <v>0</v>
      </c>
      <c r="T23" s="179" t="s">
        <v>1668</v>
      </c>
    </row>
    <row r="24" spans="1:20" ht="16.5" customHeight="1" x14ac:dyDescent="0.25">
      <c r="A24" s="54"/>
      <c r="B24" s="9"/>
      <c r="C24" s="9" t="s">
        <v>175</v>
      </c>
      <c r="D24" s="9"/>
      <c r="E24" s="140"/>
      <c r="F24" s="141"/>
      <c r="G24" s="141"/>
      <c r="H24" s="142"/>
      <c r="I24" s="142"/>
      <c r="J24" s="150"/>
      <c r="K24" s="178">
        <f>Q24</f>
        <v>0</v>
      </c>
      <c r="N24" s="143">
        <v>0</v>
      </c>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v>0</v>
      </c>
      <c r="P25" s="155"/>
      <c r="Q25" s="155"/>
      <c r="S25" s="154">
        <f t="shared" si="1"/>
        <v>0</v>
      </c>
      <c r="T25" s="179" t="s">
        <v>1668</v>
      </c>
    </row>
    <row r="26" spans="1:20" ht="16.5" customHeight="1" x14ac:dyDescent="0.25">
      <c r="A26" s="54"/>
      <c r="C26" s="20"/>
      <c r="D26" s="20"/>
      <c r="E26" s="20"/>
      <c r="F26" s="127"/>
      <c r="G26" s="127"/>
      <c r="H26" s="22"/>
      <c r="I26" s="22"/>
      <c r="J26" s="107">
        <f>SUM(J15:J25)</f>
        <v>806422</v>
      </c>
      <c r="K26" s="107">
        <f>SUM(K15:K25)</f>
        <v>806422</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227743</v>
      </c>
      <c r="K55" s="144"/>
    </row>
    <row r="56" spans="1:16" ht="16.5" customHeight="1" x14ac:dyDescent="0.25">
      <c r="A56" s="54"/>
      <c r="B56" s="25"/>
      <c r="C56" s="9" t="s">
        <v>177</v>
      </c>
      <c r="D56" s="140"/>
      <c r="E56" s="140"/>
      <c r="F56" s="141"/>
      <c r="G56" s="141"/>
      <c r="H56" s="142"/>
      <c r="I56" s="142"/>
      <c r="J56" s="145"/>
      <c r="K56" s="143">
        <v>0</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v>227743</v>
      </c>
    </row>
    <row r="59" spans="1:16" ht="16.5" customHeight="1" x14ac:dyDescent="0.25">
      <c r="A59" s="54"/>
      <c r="C59" s="16"/>
      <c r="D59" s="16"/>
      <c r="E59" s="16"/>
      <c r="F59" s="17"/>
      <c r="G59" s="17"/>
      <c r="H59" s="18"/>
      <c r="I59" s="18"/>
      <c r="J59" s="107">
        <f>SUM(J55:J58)</f>
        <v>227743</v>
      </c>
      <c r="K59" s="107">
        <f>SUM(K55:K58)</f>
        <v>227743</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232493</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490</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232983</v>
      </c>
    </row>
    <row r="65" spans="1:12" ht="16.5" customHeight="1" x14ac:dyDescent="0.25">
      <c r="A65" s="54"/>
      <c r="C65" s="16"/>
      <c r="D65" s="16"/>
      <c r="E65" s="16"/>
      <c r="F65" s="17"/>
      <c r="G65" s="17"/>
      <c r="H65" s="18"/>
      <c r="I65" s="18"/>
      <c r="J65" s="107">
        <f>SUM(J62:J64)</f>
        <v>232983</v>
      </c>
      <c r="K65" s="107">
        <f>SUM(K62:K64)</f>
        <v>232983</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232493</v>
      </c>
      <c r="K68" s="144"/>
    </row>
    <row r="69" spans="1:12" ht="16.5" customHeight="1" x14ac:dyDescent="0.25">
      <c r="A69" s="54"/>
      <c r="B69" s="9"/>
      <c r="C69" s="9" t="s">
        <v>185</v>
      </c>
      <c r="D69" s="140"/>
      <c r="E69" s="140"/>
      <c r="F69" s="141"/>
      <c r="G69" s="141"/>
      <c r="H69" s="142"/>
      <c r="I69" s="142"/>
      <c r="J69" s="144"/>
      <c r="K69" s="143">
        <v>232493</v>
      </c>
      <c r="L69" s="10" t="str">
        <f>IF($J$62=$K$69,"","&lt;- Accts 0848 must agree")</f>
        <v/>
      </c>
    </row>
    <row r="70" spans="1:12" ht="16.5" customHeight="1" x14ac:dyDescent="0.25">
      <c r="A70" s="54"/>
      <c r="C70" s="16"/>
      <c r="D70" s="16"/>
      <c r="E70" s="16"/>
      <c r="F70" s="17"/>
      <c r="G70" s="17"/>
      <c r="H70" s="18"/>
      <c r="I70" s="18"/>
      <c r="J70" s="107">
        <f>SUM(J68:J69)</f>
        <v>232493</v>
      </c>
      <c r="K70" s="107">
        <f>SUM(K68:K69)</f>
        <v>232493</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118443</v>
      </c>
      <c r="K75" s="144"/>
    </row>
    <row r="76" spans="1:12" ht="16.5" customHeight="1" x14ac:dyDescent="0.25">
      <c r="A76" s="54"/>
      <c r="B76" s="9"/>
      <c r="C76" s="9" t="s">
        <v>193</v>
      </c>
      <c r="D76" s="140"/>
      <c r="E76" s="140"/>
      <c r="F76" s="141"/>
      <c r="G76" s="141"/>
      <c r="H76" s="142"/>
      <c r="I76" s="142"/>
      <c r="J76" s="144"/>
      <c r="K76" s="143">
        <v>118443</v>
      </c>
    </row>
    <row r="77" spans="1:12" ht="16.5" customHeight="1" x14ac:dyDescent="0.2">
      <c r="A77" s="54"/>
      <c r="B77" s="196" t="s">
        <v>1672</v>
      </c>
      <c r="C77" s="196"/>
      <c r="D77" s="196"/>
      <c r="E77" s="196"/>
      <c r="F77" s="196"/>
      <c r="G77" s="196"/>
      <c r="H77" s="196"/>
      <c r="I77" s="196"/>
      <c r="J77" s="107">
        <f>SUM(J75:J76)</f>
        <v>118443</v>
      </c>
      <c r="K77" s="107">
        <f>SUM(K75:K76)</f>
        <v>118443</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797101</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-683229</v>
      </c>
    </row>
    <row r="128" spans="1:12" ht="16.5" customHeight="1" x14ac:dyDescent="0.25">
      <c r="D128" s="140" t="s">
        <v>1656</v>
      </c>
      <c r="H128" s="10"/>
      <c r="K128" s="169">
        <f>-K23-K48+J68+J75+J96-K113</f>
        <v>0</v>
      </c>
    </row>
    <row r="129" spans="4:11" ht="16.5" customHeight="1" x14ac:dyDescent="0.25">
      <c r="D129" s="140" t="s">
        <v>1657</v>
      </c>
      <c r="H129" s="10"/>
      <c r="K129" s="169">
        <f>-K76</f>
        <v>-118443</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D4" sqref="D4"/>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2" t="s">
        <v>194</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0">
        <v>3780</v>
      </c>
      <c r="C9" s="210"/>
      <c r="D9" s="3"/>
      <c r="E9" s="3"/>
      <c r="F9" s="3"/>
    </row>
    <row r="10" spans="1:13" ht="15.75" x14ac:dyDescent="0.25">
      <c r="A10" s="5" t="s">
        <v>191</v>
      </c>
      <c r="B10" s="211" t="s">
        <v>1715</v>
      </c>
      <c r="C10" s="211"/>
      <c r="D10" s="3"/>
      <c r="E10" s="3"/>
      <c r="F10" s="3"/>
      <c r="G10" s="27"/>
      <c r="H10" s="27"/>
      <c r="I10" s="27"/>
      <c r="J10" s="27"/>
      <c r="K10" s="27"/>
      <c r="L10" s="27"/>
      <c r="M10" s="27"/>
    </row>
    <row r="11" spans="1:13" ht="32.25" customHeight="1" x14ac:dyDescent="0.25">
      <c r="A11" s="202" t="s">
        <v>1685</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v>118443</v>
      </c>
      <c r="C13" s="55">
        <v>69</v>
      </c>
      <c r="D13" s="200" t="s">
        <v>4</v>
      </c>
      <c r="E13" s="201"/>
      <c r="F13" s="201"/>
      <c r="G13" s="29"/>
      <c r="H13" s="29"/>
      <c r="I13" s="29"/>
      <c r="J13" s="29"/>
      <c r="K13" s="29"/>
      <c r="L13" s="29"/>
      <c r="M13" s="29"/>
    </row>
    <row r="14" spans="1:13" x14ac:dyDescent="0.2">
      <c r="A14" s="51" t="str">
        <f>LEFT(A13,4)+1&amp;"–"&amp;RIGHT(A13,4)+1</f>
        <v>2025–2026</v>
      </c>
      <c r="B14" s="55"/>
      <c r="C14" s="55"/>
      <c r="D14" s="200"/>
      <c r="E14" s="201"/>
      <c r="F14" s="201"/>
    </row>
    <row r="15" spans="1:13" ht="15.75" x14ac:dyDescent="0.2">
      <c r="A15" s="51" t="str">
        <f>LEFT(A14,4)+1&amp;"–"&amp;RIGHT(A14,4)+1</f>
        <v>2026–2027</v>
      </c>
      <c r="B15" s="55"/>
      <c r="C15" s="55"/>
      <c r="D15" s="197" t="s">
        <v>124</v>
      </c>
      <c r="E15" s="197"/>
      <c r="F15" s="197"/>
      <c r="G15" s="30"/>
      <c r="H15" s="30"/>
      <c r="I15" s="30"/>
      <c r="J15" s="30"/>
      <c r="K15" s="30"/>
      <c r="L15" s="30"/>
      <c r="M15" s="30"/>
    </row>
    <row r="16" spans="1:13" x14ac:dyDescent="0.2">
      <c r="A16" s="51" t="str">
        <f>LEFT(A15,4)+1&amp;"–"&amp;RIGHT(A15,4)+1</f>
        <v>2027–2028</v>
      </c>
      <c r="B16" s="55"/>
      <c r="C16" s="55"/>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c r="C17" s="55"/>
      <c r="D17" s="197">
        <v>0</v>
      </c>
      <c r="E17" s="197"/>
      <c r="F17" s="197"/>
      <c r="G17" s="31"/>
      <c r="H17" s="31"/>
      <c r="I17" s="31"/>
      <c r="J17" s="31"/>
      <c r="K17" s="31"/>
    </row>
    <row r="18" spans="1:13" ht="15" customHeight="1" x14ac:dyDescent="0.25">
      <c r="A18" s="51" t="str">
        <f>LEFT(A17,4)+1&amp;"–"&amp;RIGHT(A17,4)+5</f>
        <v>2029–2034</v>
      </c>
      <c r="B18" s="55"/>
      <c r="C18" s="55"/>
      <c r="D18" s="200" t="s">
        <v>6</v>
      </c>
      <c r="E18" s="201"/>
      <c r="F18" s="201"/>
      <c r="G18" s="29"/>
      <c r="H18" s="29"/>
      <c r="I18" s="29"/>
      <c r="J18" s="29"/>
      <c r="K18" s="29"/>
      <c r="L18" s="29"/>
      <c r="M18" s="29"/>
    </row>
    <row r="19" spans="1:13" x14ac:dyDescent="0.2">
      <c r="A19" s="51" t="str">
        <f t="shared" ref="A19:A32" si="0">LEFT(A18,4)+5&amp;"–"&amp;RIGHT(A18,4)+5</f>
        <v>2034–2039</v>
      </c>
      <c r="B19" s="55"/>
      <c r="C19" s="55"/>
      <c r="D19" s="200"/>
      <c r="E19" s="201"/>
      <c r="F19" s="201"/>
    </row>
    <row r="20" spans="1:13" ht="15.75" x14ac:dyDescent="0.2">
      <c r="A20" s="51" t="str">
        <f t="shared" si="0"/>
        <v>2039–2044</v>
      </c>
      <c r="B20" s="55"/>
      <c r="C20" s="55"/>
      <c r="D20" s="197" t="s">
        <v>124</v>
      </c>
      <c r="E20" s="197"/>
      <c r="F20" s="197"/>
      <c r="G20" s="30"/>
      <c r="H20" s="30"/>
      <c r="I20" s="30"/>
      <c r="J20" s="30"/>
      <c r="K20" s="30"/>
      <c r="L20" s="30"/>
      <c r="M20" s="30"/>
    </row>
    <row r="21" spans="1:13" ht="15" customHeight="1" x14ac:dyDescent="0.2">
      <c r="A21" s="51" t="str">
        <f t="shared" si="0"/>
        <v>2044–2049</v>
      </c>
      <c r="B21" s="55"/>
      <c r="C21" s="55"/>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c r="C22" s="55"/>
      <c r="D22" s="198"/>
      <c r="E22" s="199"/>
      <c r="F22" s="199"/>
    </row>
    <row r="23" spans="1:13" x14ac:dyDescent="0.2">
      <c r="A23" s="51" t="str">
        <f t="shared" si="0"/>
        <v>2054–2059</v>
      </c>
      <c r="B23" s="55"/>
      <c r="C23" s="55"/>
      <c r="D23" s="197">
        <v>0</v>
      </c>
      <c r="E23" s="197"/>
      <c r="F23" s="197"/>
    </row>
    <row r="24" spans="1:13" x14ac:dyDescent="0.2">
      <c r="A24" s="51" t="str">
        <f t="shared" si="0"/>
        <v>2059–2064</v>
      </c>
      <c r="B24" s="55"/>
      <c r="C24" s="55"/>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c r="C25" s="55"/>
      <c r="D25" s="198"/>
      <c r="E25" s="199"/>
      <c r="F25" s="199"/>
    </row>
    <row r="26" spans="1:13" x14ac:dyDescent="0.2">
      <c r="A26" s="51" t="str">
        <f t="shared" si="0"/>
        <v>2069–2074</v>
      </c>
      <c r="B26" s="55"/>
      <c r="C26" s="55"/>
      <c r="D26" s="197">
        <v>0</v>
      </c>
      <c r="E26" s="197"/>
      <c r="F26" s="197"/>
    </row>
    <row r="27" spans="1:13" ht="15" customHeight="1" x14ac:dyDescent="0.2">
      <c r="A27" s="51" t="str">
        <f t="shared" si="0"/>
        <v>2074–2079</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c r="C28" s="55"/>
      <c r="D28" s="200"/>
      <c r="E28" s="201"/>
      <c r="F28" s="201"/>
      <c r="G28" s="33"/>
      <c r="H28" s="33"/>
      <c r="I28" s="33"/>
      <c r="J28" s="33"/>
      <c r="K28" s="33"/>
      <c r="L28" s="33"/>
      <c r="M28" s="33"/>
    </row>
    <row r="29" spans="1:13" ht="15.75" x14ac:dyDescent="0.2">
      <c r="A29" s="51" t="str">
        <f t="shared" si="0"/>
        <v>2084–2089</v>
      </c>
      <c r="B29" s="55"/>
      <c r="C29" s="55"/>
      <c r="D29" s="197">
        <v>0</v>
      </c>
      <c r="E29" s="197"/>
      <c r="F29" s="197"/>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7" t="s">
        <v>124</v>
      </c>
      <c r="E31" s="197"/>
      <c r="F31" s="197"/>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7">
        <v>0</v>
      </c>
      <c r="E33" s="197"/>
      <c r="F33" s="197"/>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f>B9</f>
        <v>3780</v>
      </c>
      <c r="C40" s="206"/>
      <c r="E40" s="32"/>
    </row>
    <row r="41" spans="1:13" ht="15.75" x14ac:dyDescent="0.25">
      <c r="A41" s="5" t="s">
        <v>191</v>
      </c>
      <c r="B41" s="204" t="str">
        <f>B10</f>
        <v>Native American Heritage Commission</v>
      </c>
      <c r="C41" s="204"/>
      <c r="E41" s="32"/>
    </row>
    <row r="42" spans="1:13" ht="32.25" customHeight="1" x14ac:dyDescent="0.25">
      <c r="A42" s="202" t="s">
        <v>1685</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c r="C44" s="55"/>
      <c r="D44" s="200" t="s">
        <v>4</v>
      </c>
      <c r="E44" s="201"/>
      <c r="F44" s="201"/>
    </row>
    <row r="45" spans="1:13" ht="15" customHeight="1" x14ac:dyDescent="0.2">
      <c r="A45" s="51" t="str">
        <f>LEFT(A44,4)+1&amp;"–"&amp;RIGHT(A44,4)+1</f>
        <v>2025–2026</v>
      </c>
      <c r="B45" s="55"/>
      <c r="C45" s="55"/>
      <c r="D45" s="200"/>
      <c r="E45" s="201"/>
      <c r="F45" s="201"/>
    </row>
    <row r="46" spans="1:13" x14ac:dyDescent="0.2">
      <c r="A46" s="51" t="str">
        <f>LEFT(A45,4)+1&amp;"–"&amp;RIGHT(A45,4)+1</f>
        <v>2026–2027</v>
      </c>
      <c r="B46" s="55"/>
      <c r="C46" s="55"/>
      <c r="D46" s="197"/>
      <c r="E46" s="197"/>
      <c r="F46" s="197"/>
    </row>
    <row r="47" spans="1:13" ht="15" customHeight="1" x14ac:dyDescent="0.2">
      <c r="A47" s="51" t="str">
        <f>LEFT(A46,4)+1&amp;"–"&amp;RIGHT(A46,4)+1</f>
        <v>2027–2028</v>
      </c>
      <c r="B47" s="55"/>
      <c r="C47" s="55"/>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c r="C48" s="55"/>
      <c r="D48" s="197"/>
      <c r="E48" s="197"/>
      <c r="F48" s="197"/>
    </row>
    <row r="49" spans="1:6" ht="15" customHeight="1" x14ac:dyDescent="0.2">
      <c r="A49" s="51" t="str">
        <f>LEFT(A48,4)+1&amp;"–"&amp;RIGHT(A48,4)+5</f>
        <v>2029–2034</v>
      </c>
      <c r="B49" s="55"/>
      <c r="C49" s="55"/>
      <c r="D49" s="200" t="s">
        <v>6</v>
      </c>
      <c r="E49" s="201"/>
      <c r="F49" s="201"/>
    </row>
    <row r="50" spans="1:6" x14ac:dyDescent="0.2">
      <c r="A50" s="51" t="str">
        <f t="shared" ref="A50:A63" si="1">LEFT(A49,4)+5&amp;"–"&amp;RIGHT(A49,4)+5</f>
        <v>2034–2039</v>
      </c>
      <c r="B50" s="55"/>
      <c r="C50" s="55"/>
      <c r="D50" s="200"/>
      <c r="E50" s="201"/>
      <c r="F50" s="201"/>
    </row>
    <row r="51" spans="1:6" ht="15" customHeight="1" x14ac:dyDescent="0.2">
      <c r="A51" s="51" t="str">
        <f t="shared" si="1"/>
        <v>2039–2044</v>
      </c>
      <c r="B51" s="55"/>
      <c r="C51" s="55"/>
      <c r="D51" s="197"/>
      <c r="E51" s="197"/>
      <c r="F51" s="197"/>
    </row>
    <row r="52" spans="1:6" ht="15" customHeight="1" x14ac:dyDescent="0.2">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c r="C53" s="55"/>
      <c r="D53" s="198"/>
      <c r="E53" s="199"/>
      <c r="F53" s="199"/>
    </row>
    <row r="54" spans="1:6" x14ac:dyDescent="0.2">
      <c r="A54" s="51" t="str">
        <f t="shared" si="1"/>
        <v>2054–2059</v>
      </c>
      <c r="B54" s="55"/>
      <c r="C54" s="55"/>
      <c r="D54" s="197"/>
      <c r="E54" s="197"/>
      <c r="F54" s="197"/>
    </row>
    <row r="55" spans="1:6" ht="15" customHeight="1" x14ac:dyDescent="0.2">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f>B9</f>
        <v>3780</v>
      </c>
      <c r="C71" s="206"/>
    </row>
    <row r="72" spans="1:13" ht="15.75" x14ac:dyDescent="0.25">
      <c r="A72" s="5" t="s">
        <v>191</v>
      </c>
      <c r="B72" s="204" t="str">
        <f>B10</f>
        <v>Native American Heritage Commission</v>
      </c>
      <c r="C72" s="204"/>
    </row>
    <row r="73" spans="1:13" ht="32.25" customHeight="1" x14ac:dyDescent="0.25">
      <c r="A73" s="202" t="s">
        <v>1685</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X23" sqref="X23"/>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3780 - Native American Heritage Commission</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350936</v>
      </c>
      <c r="G10" s="58"/>
      <c r="H10" s="61">
        <f>IF('LS-Fund 0001 Journal Entries'!$F$8="Governmental Fund",SUM('LS-Fund 0001 Journal Entries'!$K$48,'LS-Fund 0001 Journal Entries'!K113),0)</f>
        <v>0</v>
      </c>
      <c r="I10" s="58"/>
      <c r="J10" s="61">
        <f>IF('LS-Fund 0001 Journal Entries'!$F$8="Governmental Fund",SUM('LS-Fund 0001 Journal Entries'!$J$68,'LS-Fund 0001 Journal Entries'!J96),0)</f>
        <v>232493</v>
      </c>
      <c r="K10" s="58"/>
      <c r="L10" s="63">
        <f>SUM(F10+H10-J10)</f>
        <v>118443</v>
      </c>
      <c r="M10" s="58"/>
      <c r="N10" s="61">
        <f>IF('LS-Fund 0001 Journal Entries'!$F$8="Governmental Fund",'LS-Fund 0001 Journal Entries'!$K$76,0)</f>
        <v>118443</v>
      </c>
      <c r="O10" s="58"/>
      <c r="P10" s="63">
        <f>L10-N10</f>
        <v>0</v>
      </c>
      <c r="Q10" s="43"/>
    </row>
    <row r="11" spans="2:17" ht="19.5" thickTop="1" thickBot="1" x14ac:dyDescent="0.3">
      <c r="B11" s="41"/>
      <c r="C11" s="45" t="s">
        <v>18</v>
      </c>
      <c r="F11" s="62">
        <f>SUM(F10:F10)</f>
        <v>350936</v>
      </c>
      <c r="G11" s="58"/>
      <c r="H11" s="62">
        <f>SUM(H10:H10)</f>
        <v>0</v>
      </c>
      <c r="I11" s="58"/>
      <c r="J11" s="62">
        <f>SUM(J10:J10)</f>
        <v>232493</v>
      </c>
      <c r="K11" s="58"/>
      <c r="L11" s="62">
        <f>SUM(L10:L10)</f>
        <v>118443</v>
      </c>
      <c r="M11" s="58"/>
      <c r="N11" s="62">
        <f>SUM(N10:N10)</f>
        <v>118443</v>
      </c>
      <c r="O11" s="58"/>
      <c r="P11" s="62">
        <f>SUM(P10:P10)</f>
        <v>0</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abSelected="1" zoomScale="112" zoomScaleNormal="112" workbookViewId="0"/>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350936</v>
      </c>
      <c r="C16" s="116" t="s">
        <v>145</v>
      </c>
      <c r="D16" s="84">
        <f>IF('LS-Fund 0001 Journal Entries'!$F$8="Governmental Fund",'LS-Fund 0001 Journal Entries'!$K$48,0)</f>
        <v>0</v>
      </c>
      <c r="E16" s="118" t="s">
        <v>146</v>
      </c>
      <c r="F16" s="84">
        <f>IF('LS-Fund 0001 Journal Entries'!$F$8="Governmental Fund",'LS-Fund 0001 Journal Entries'!$J$68,0)</f>
        <v>232493</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118443</v>
      </c>
      <c r="M16" s="86"/>
      <c r="N16" s="88">
        <f>SUM('LS-Department Note Disclosure'!B13:B36)</f>
        <v>118443</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118443</v>
      </c>
      <c r="C42" s="92"/>
      <c r="E42" s="92"/>
      <c r="G42" s="115"/>
      <c r="H42" s="115"/>
      <c r="I42" s="115"/>
      <c r="J42" s="115"/>
      <c r="K42" s="92"/>
      <c r="L42" s="92"/>
      <c r="M42" s="93"/>
      <c r="N42" s="88">
        <f>'LS-Department Note Disclosure'!B13</f>
        <v>118443</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350936</v>
      </c>
      <c r="J66" s="97">
        <f>SUM(D66)</f>
        <v>350936</v>
      </c>
      <c r="L66" s="98" t="str">
        <f>CONCATENATE("Balance July 1, ",LEFT('LS-Department Note Disclosure'!$B$8,4))</f>
        <v>Balance July 1, 2023</v>
      </c>
      <c r="N66" s="97">
        <f>'LS-Lease Liabilities'!F10</f>
        <v>350936</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232493</v>
      </c>
      <c r="E68" s="119" t="s">
        <v>145</v>
      </c>
      <c r="F68" s="79" t="s">
        <v>1678</v>
      </c>
      <c r="H68" s="97">
        <f>$H$16</f>
        <v>0</v>
      </c>
      <c r="J68" s="97">
        <f>SUM(D68,H68)</f>
        <v>232493</v>
      </c>
      <c r="L68" s="98" t="s">
        <v>13</v>
      </c>
      <c r="N68" s="97">
        <f>'LS-Lease Liabilities'!J10</f>
        <v>232493</v>
      </c>
      <c r="P68" s="89">
        <f t="shared" si="0"/>
        <v>0</v>
      </c>
    </row>
    <row r="69" spans="1:17" x14ac:dyDescent="0.25">
      <c r="B69" s="79" t="s">
        <v>155</v>
      </c>
      <c r="D69" s="97">
        <f>$B$42</f>
        <v>118443</v>
      </c>
      <c r="J69" s="97">
        <f>SUM(D69)</f>
        <v>118443</v>
      </c>
      <c r="L69" s="98" t="s">
        <v>14</v>
      </c>
      <c r="N69" s="97">
        <f>'LS-Lease Liabilities'!N10</f>
        <v>118443</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Au, Jared</cp:lastModifiedBy>
  <cp:lastPrinted>2024-09-14T00:58:00Z</cp:lastPrinted>
  <dcterms:created xsi:type="dcterms:W3CDTF">2023-03-08T17:19:33Z</dcterms:created>
  <dcterms:modified xsi:type="dcterms:W3CDTF">2024-12-18T21:24:04Z</dcterms:modified>
</cp:coreProperties>
</file>