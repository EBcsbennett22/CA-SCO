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D930F174-E620-4E1A-9749-2F1B4FE22FD1}" xr6:coauthVersionLast="47" xr6:coauthVersionMax="47" xr10:uidLastSave="{00000000-0000-0000-0000-000000000000}"/>
  <bookViews>
    <workbookView xWindow="28680" yWindow="-1530" windowWidth="29040" windowHeight="15840" tabRatio="730" firstSheet="2" activeTab="3" xr2:uid="{00000000-000D-0000-FFFF-FFFF00000000}"/>
  </bookViews>
  <sheets>
    <sheet name="Drop Down Menus" sheetId="1" state="hidden" r:id="rId1"/>
    <sheet name="qryIndex02a" sheetId="11" state="hidden" r:id="rId2"/>
    <sheet name="LS-Version Changes" sheetId="13" r:id="rId3"/>
    <sheet name="LS-Fund 0317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0317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4" l="1"/>
  <c r="B63" i="2" l="1"/>
  <c r="B57" i="8"/>
  <c r="L56" i="8"/>
  <c r="L63" i="8"/>
  <c r="K83" i="8"/>
  <c r="K82" i="8"/>
  <c r="K81" i="8"/>
  <c r="K80" i="8"/>
  <c r="K79" i="8"/>
  <c r="K78" i="8"/>
  <c r="K77" i="8"/>
  <c r="J18" i="4"/>
  <c r="J14" i="4"/>
  <c r="J10" i="4"/>
  <c r="H18" i="4"/>
  <c r="H14"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K17" i="5"/>
  <c r="K69" i="5" s="1"/>
  <c r="J14" i="5"/>
  <c r="S18" i="8"/>
  <c r="S24" i="8"/>
  <c r="S18" i="2"/>
  <c r="K23" i="8"/>
  <c r="K22" i="8"/>
  <c r="K21" i="8"/>
  <c r="J17" i="8"/>
  <c r="S21" i="8"/>
  <c r="S17" i="8"/>
  <c r="S16" i="8"/>
  <c r="S15" i="8"/>
  <c r="S23" i="8"/>
  <c r="J19" i="2" l="1"/>
  <c r="K25"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<sst xmlns="http://schemas.openxmlformats.org/spreadsheetml/2006/main" count="8067" uniqueCount="1804">
  <si>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</si>
  <si>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</si>
  <si>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</si>
  <si>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</si>
  <si>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</si>
  <si>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</si>
  <si>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</si>
  <si>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</si>
  <si>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</si>
  <si>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</si>
  <si>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</si>
  <si>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</si>
  <si>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</si>
  <si>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</si>
  <si>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</si>
  <si>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</si>
  <si>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</si>
  <si>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</si>
  <si>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</si>
  <si>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</si>
  <si>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</si>
  <si>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</si>
  <si>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</si>
  <si>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</si>
  <si>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</si>
  <si>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</si>
  <si>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</si>
  <si>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</si>
  <si>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</si>
  <si>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</si>
  <si>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</si>
  <si>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</si>
  <si>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</si>
  <si>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</si>
  <si>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</si>
  <si>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</si>
  <si>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</si>
  <si>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</si>
  <si>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</si>
  <si>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</si>
  <si>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</si>
  <si>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</si>
  <si>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</si>
  <si>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</si>
  <si>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</si>
  <si>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</si>
  <si>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</si>
  <si>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</si>
  <si>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</si>
  <si>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</si>
  <si>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</si>
  <si>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</si>
  <si>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</si>
  <si>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</si>
  <si>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</si>
  <si>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</si>
  <si>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</si>
  <si>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</si>
  <si>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</si>
  <si>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</si>
  <si>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</si>
  <si>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</si>
  <si>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</si>
  <si>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</si>
  <si>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</si>
  <si>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</si>
  <si>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</si>
  <si>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</si>
  <si>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</si>
  <si>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</si>
  <si>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</si>
  <si>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</si>
  <si>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</si>
  <si>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</si>
  <si>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</si>
  <si>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</si>
  <si>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</si>
  <si>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</si>
  <si>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</si>
  <si>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</si>
  <si>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</si>
  <si>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</si>
  <si>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</si>
  <si>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</si>
  <si>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</si>
  <si>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</si>
  <si>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</si>
  <si>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</si>
  <si>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</si>
  <si>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</si>
  <si>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</si>
  <si>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</si>
  <si>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</si>
  <si>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</si>
  <si>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</si>
  <si>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</si>
  <si>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</si>
  <si>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</si>
  <si>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</si>
  <si>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</si>
  <si>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</si>
  <si>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</si>
  <si>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</si>
  <si>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</si>
  <si>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</si>
  <si>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</si>
  <si>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</si>
  <si>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</si>
  <si>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</si>
  <si>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</si>
  <si>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</si>
  <si>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</si>
  <si>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</si>
  <si>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</si>
  <si>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</si>
  <si>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</si>
  <si>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</si>
  <si>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</si>
  <si>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</si>
  <si>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</si>
  <si>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</si>
  <si>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</si>
  <si>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</si>
  <si>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</si>
  <si>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</si>
  <si>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</si>
  <si>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</si>
  <si>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</si>
  <si>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</si>
  <si>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</si>
  <si>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</si>
  <si>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</si>
  <si>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</si>
  <si>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</si>
  <si>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</si>
  <si>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</si>
  <si>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</si>
  <si>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</si>
  <si>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</si>
  <si>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</si>
  <si>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</si>
  <si>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</si>
  <si>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</si>
  <si>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</si>
  <si>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</si>
  <si>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</si>
  <si>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</si>
  <si>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</si>
  <si>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</si>
  <si>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</si>
  <si>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</si>
  <si>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</si>
  <si>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</si>
  <si>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</si>
  <si>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</si>
  <si>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</si>
  <si>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</si>
  <si>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</si>
  <si>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</si>
  <si>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</si>
  <si>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</si>
  <si>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</si>
  <si>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</si>
  <si>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</si>
  <si>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</si>
  <si>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</si>
  <si>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</si>
  <si>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</si>
  <si>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</si>
  <si>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</si>
  <si>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</si>
  <si>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</si>
  <si>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</si>
  <si>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</si>
  <si>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</si>
  <si>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</si>
  <si>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</si>
  <si>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</si>
  <si>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</si>
  <si>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</si>
  <si>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</si>
  <si>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</si>
  <si>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</si>
  <si>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</si>
  <si>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</si>
  <si>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</si>
  <si>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</si>
  <si>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</si>
  <si>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</si>
  <si>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</si>
  <si>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</si>
  <si>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</si>
  <si>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</si>
  <si>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</si>
  <si>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</si>
  <si>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</si>
  <si>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</si>
  <si>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</si>
  <si>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</si>
  <si>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</si>
  <si>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</si>
  <si>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</si>
  <si>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</si>
  <si>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</si>
  <si>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</si>
  <si>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</si>
  <si>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</si>
  <si>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</si>
  <si>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</si>
  <si>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</si>
  <si>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</si>
  <si>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</si>
  <si>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</si>
  <si>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</si>
  <si>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</si>
  <si>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</si>
  <si>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</si>
  <si>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</si>
  <si>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</si>
  <si>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</si>
  <si>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</si>
  <si>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</si>
  <si>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</si>
  <si>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</si>
  <si>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</si>
  <si>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</si>
  <si>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</si>
  <si>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</si>
  <si>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</si>
  <si>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</si>
  <si>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</si>
  <si>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</si>
  <si>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</si>
  <si>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</si>
  <si>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</si>
  <si>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</si>
  <si>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</si>
  <si>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</si>
  <si>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</si>
  <si>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</si>
  <si>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</si>
  <si>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</si>
  <si>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</si>
  <si>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</si>
  <si>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</si>
  <si>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</si>
  <si>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</si>
  <si>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</si>
  <si>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</si>
  <si>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</si>
  <si>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</si>
  <si>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</si>
  <si>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</si>
  <si>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</si>
  <si>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</si>
  <si>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</si>
  <si>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</si>
  <si>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</si>
  <si>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</si>
  <si>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</si>
  <si>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</si>
  <si>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</si>
  <si>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</si>
  <si>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</si>
  <si>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</si>
  <si>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</si>
  <si>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</si>
  <si>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</si>
  <si>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</si>
  <si>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</si>
  <si>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</si>
  <si>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</si>
  <si>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</si>
  <si>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</si>
  <si>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</si>
  <si>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</si>
  <si>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</si>
  <si>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</si>
  <si>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</si>
  <si>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</si>
  <si>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</si>
  <si>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</si>
  <si>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</si>
  <si>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</si>
  <si>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</si>
  <si>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</si>
  <si>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</si>
  <si>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</si>
  <si>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</si>
  <si>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</si>
  <si>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</si>
  <si>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</si>
  <si>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</si>
  <si>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</si>
  <si>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</si>
  <si>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</si>
  <si>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</si>
  <si>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</si>
  <si>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</si>
  <si>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</si>
  <si>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</si>
  <si>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</si>
  <si>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</si>
  <si>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</si>
  <si>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</si>
  <si>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</si>
  <si>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</si>
  <si>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</si>
  <si>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</si>
  <si>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</si>
  <si>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</si>
  <si>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</si>
  <si>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</si>
  <si>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</si>
  <si>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</si>
  <si>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</si>
  <si>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</si>
  <si>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</si>
  <si>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</si>
  <si>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</si>
  <si>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</si>
  <si>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</si>
  <si>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</si>
  <si>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</si>
  <si>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</si>
  <si>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</si>
  <si>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</si>
  <si>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</si>
  <si>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</si>
  <si>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</si>
  <si>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</si>
  <si>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</si>
  <si>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</si>
  <si>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</si>
  <si>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</si>
  <si>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</si>
  <si>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</si>
  <si>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</si>
  <si>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</si>
  <si>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</si>
  <si>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</si>
  <si>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</si>
  <si>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</si>
  <si>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</si>
  <si>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</si>
  <si>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</si>
  <si>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</si>
  <si>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</si>
  <si>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</si>
  <si>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</si>
  <si>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</si>
  <si>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</si>
  <si>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</si>
  <si>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</si>
  <si>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</si>
  <si>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</si>
  <si>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</si>
  <si>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</si>
  <si>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</si>
  <si>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</si>
  <si>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</si>
  <si>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</si>
  <si>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</si>
  <si>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</si>
  <si>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</si>
  <si>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</si>
  <si>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</si>
  <si>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</si>
  <si>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</si>
  <si>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</si>
  <si>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</si>
  <si>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</si>
  <si>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</si>
  <si>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</si>
  <si>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</si>
  <si>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</si>
  <si>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</si>
  <si>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</si>
  <si>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</si>
  <si>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</si>
  <si>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</si>
  <si>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</si>
  <si>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</si>
  <si>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</si>
  <si>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</si>
  <si>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</si>
  <si>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</si>
  <si>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</si>
  <si>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</si>
  <si>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</si>
  <si>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</si>
  <si>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</si>
  <si>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</si>
  <si>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</si>
  <si>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</si>
  <si>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</si>
  <si>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</si>
  <si>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</si>
  <si>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</si>
  <si>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</si>
  <si>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</si>
  <si>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</si>
  <si>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</si>
  <si>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</si>
  <si>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</si>
  <si>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</si>
  <si>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</si>
  <si>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</si>
  <si>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</si>
  <si>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</si>
  <si>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</si>
  <si>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</si>
  <si>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</si>
  <si>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</si>
  <si>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</si>
  <si>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</si>
  <si>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</si>
  <si>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</si>
  <si>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</si>
  <si>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</si>
  <si>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</si>
  <si>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</si>
  <si>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</si>
  <si>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</si>
  <si>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</si>
  <si>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</si>
  <si>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</si>
  <si>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</si>
  <si>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</si>
  <si>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</si>
  <si>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</si>
  <si>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</si>
  <si>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</si>
  <si>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</si>
  <si>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</si>
  <si>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</si>
  <si>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</si>
  <si>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</si>
  <si>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</si>
  <si>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</si>
  <si>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</si>
  <si>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</si>
  <si>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</si>
  <si>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</si>
  <si>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</si>
  <si>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</si>
  <si>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</si>
  <si>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</si>
  <si>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</si>
  <si>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</si>
  <si>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</si>
  <si>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</si>
  <si>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</si>
  <si>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</si>
  <si>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</si>
  <si>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</si>
  <si>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</si>
  <si>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</si>
  <si>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</si>
  <si>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</si>
  <si>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</si>
  <si>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</si>
  <si>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</si>
  <si>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</si>
  <si>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</si>
  <si>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</si>
  <si>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</si>
  <si>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</si>
  <si>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</si>
  <si>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</si>
  <si>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</si>
  <si>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</si>
  <si>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</si>
  <si>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</si>
  <si>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</si>
  <si>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</si>
  <si>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</si>
  <si>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</si>
  <si>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</si>
  <si>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</si>
  <si>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</si>
  <si>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</si>
  <si>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</si>
  <si>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</si>
  <si>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</si>
  <si>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</si>
  <si>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</si>
  <si>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</si>
  <si>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</si>
  <si>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</si>
  <si>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</si>
  <si>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</si>
  <si>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</si>
  <si>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</si>
  <si>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</si>
  <si>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</si>
  <si>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</si>
  <si>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</si>
  <si>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</si>
  <si>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</si>
  <si>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</si>
  <si>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</si>
  <si>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</si>
  <si>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</si>
  <si>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</si>
  <si>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</si>
  <si>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</si>
  <si>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</si>
  <si>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</si>
  <si>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</si>
  <si>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</si>
  <si>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</si>
  <si>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</si>
  <si>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</si>
  <si>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</si>
  <si>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</si>
  <si>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</si>
  <si>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</si>
  <si>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</si>
  <si>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</si>
  <si>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</si>
  <si>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</si>
  <si>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</si>
  <si>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</si>
  <si>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</si>
  <si>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</si>
  <si>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</si>
  <si>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</si>
  <si>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</si>
  <si>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</si>
  <si>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</si>
  <si>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</si>
  <si>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</si>
  <si>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</si>
  <si>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</si>
  <si>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</si>
  <si>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</si>
  <si>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</si>
  <si>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</si>
  <si>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</si>
  <si>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</si>
  <si>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</si>
  <si>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</si>
  <si>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</si>
  <si>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</si>
  <si>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</si>
  <si>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</si>
  <si>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</si>
  <si>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</si>
  <si>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</si>
  <si>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</si>
  <si>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</si>
  <si>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</si>
  <si>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</si>
  <si>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</si>
  <si>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</si>
  <si>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</si>
  <si>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</si>
  <si>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</si>
  <si>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</si>
  <si>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</si>
  <si>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</si>
  <si>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</si>
  <si>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</si>
  <si>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</si>
  <si>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</si>
  <si>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</si>
  <si>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</si>
  <si>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</si>
  <si>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</si>
  <si>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</si>
  <si>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</si>
  <si>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</si>
  <si>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</si>
  <si>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</si>
  <si>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</si>
  <si>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</si>
  <si>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</si>
  <si>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</si>
  <si>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</si>
  <si>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</si>
  <si>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</si>
  <si>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</si>
  <si>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</si>
  <si>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</si>
  <si>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</si>
  <si>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</si>
  <si>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</si>
  <si>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</si>
  <si>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</si>
  <si>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</si>
  <si>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</si>
  <si>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</si>
  <si>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</si>
  <si>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</si>
  <si>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</si>
  <si>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</si>
  <si>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</si>
  <si>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</si>
  <si>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</si>
  <si>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</si>
  <si>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</si>
  <si>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</si>
  <si>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</si>
  <si>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</si>
  <si>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</si>
  <si>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</si>
  <si>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</si>
  <si>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</si>
  <si>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</si>
  <si>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</si>
  <si>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</si>
  <si>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</si>
  <si>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</si>
  <si>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</si>
  <si>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</si>
  <si>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</si>
  <si>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</si>
  <si>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</si>
  <si>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</si>
  <si>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</si>
  <si>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</si>
  <si>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</si>
  <si>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</si>
  <si>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</si>
  <si>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</si>
  <si>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</si>
  <si>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</si>
  <si>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</si>
  <si>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</si>
  <si>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</si>
  <si>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</si>
  <si>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</si>
  <si>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</si>
  <si>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</si>
  <si>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</si>
  <si>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</si>
  <si>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</si>
  <si>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</si>
  <si>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</si>
  <si>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</si>
  <si>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</si>
  <si>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</si>
  <si>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</si>
  <si>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</si>
  <si>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</si>
  <si>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</si>
  <si>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</si>
  <si>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</si>
  <si>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</si>
  <si>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</si>
  <si>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</si>
  <si>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</si>
  <si>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</si>
  <si>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</si>
  <si>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</si>
  <si>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</si>
  <si>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</si>
  <si>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</si>
  <si>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</si>
  <si>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</si>
  <si>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</si>
  <si>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</si>
  <si>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</si>
  <si>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</si>
  <si>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</si>
  <si>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</si>
  <si>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</si>
  <si>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</si>
  <si>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</si>
  <si>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</si>
  <si>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</si>
  <si>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</si>
  <si>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</si>
  <si>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</si>
  <si>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</si>
  <si>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</si>
  <si>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</si>
  <si>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</si>
  <si>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</si>
  <si>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</si>
  <si>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</si>
  <si>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</si>
  <si>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</si>
  <si>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</si>
  <si>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</si>
  <si>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</si>
  <si>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</si>
  <si>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</si>
  <si>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</si>
  <si>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</si>
  <si>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</si>
  <si>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</si>
  <si>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</si>
  <si>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</si>
  <si>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</si>
  <si>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</si>
  <si>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</si>
  <si>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</si>
  <si>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</si>
  <si>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</si>
  <si>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</si>
  <si>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</si>
  <si>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</si>
  <si>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</si>
  <si>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</si>
  <si>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</si>
  <si>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</si>
  <si>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</si>
  <si>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</si>
  <si>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</si>
  <si>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</si>
  <si>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</si>
  <si>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</si>
  <si>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</si>
  <si>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</si>
  <si>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</si>
  <si>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</si>
  <si>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</si>
  <si>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</si>
  <si>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</si>
  <si>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</si>
  <si>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</si>
  <si>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</si>
  <si>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</si>
  <si>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</si>
  <si>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</si>
  <si>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</si>
  <si>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</si>
  <si>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</si>
  <si>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</si>
  <si>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</si>
  <si>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</si>
  <si>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</si>
  <si>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</si>
  <si>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</si>
  <si>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</si>
  <si>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</si>
  <si>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</si>
  <si>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</si>
  <si>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</si>
  <si>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</si>
  <si>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</si>
  <si>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</si>
  <si>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</si>
  <si>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</si>
  <si>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</si>
  <si>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</si>
  <si>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</si>
  <si>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</si>
  <si>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</si>
  <si>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</si>
  <si>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</si>
  <si>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</si>
  <si>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</si>
  <si>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</si>
  <si>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</si>
  <si>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</si>
  <si>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</si>
  <si>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</si>
  <si>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</si>
  <si>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</si>
  <si>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</si>
  <si>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</si>
  <si>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</si>
  <si>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</si>
  <si>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</si>
  <si>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</si>
  <si>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</si>
  <si>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</si>
  <si>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</si>
  <si>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</si>
  <si>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</si>
  <si>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</si>
  <si>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</si>
  <si>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</si>
  <si>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</si>
  <si>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</si>
  <si>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</si>
  <si>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</si>
  <si>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</si>
  <si>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</si>
  <si>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</si>
  <si>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</si>
  <si>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</si>
  <si>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</si>
  <si>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</si>
  <si>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</si>
  <si>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</si>
  <si>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</si>
  <si>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</si>
  <si>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</si>
  <si>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</si>
  <si>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</si>
  <si>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</si>
  <si>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</si>
  <si>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</si>
  <si>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</si>
  <si>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</si>
  <si>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</si>
  <si>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</si>
  <si>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</si>
  <si>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</si>
  <si>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</si>
  <si>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</si>
  <si>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</si>
  <si>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</si>
  <si>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</si>
  <si>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</si>
  <si>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</si>
  <si>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</si>
  <si>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</si>
  <si>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</si>
  <si>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</si>
  <si>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</si>
  <si>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</si>
  <si>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</si>
  <si>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</si>
  <si>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</si>
  <si>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</si>
  <si>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</si>
  <si>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</si>
  <si>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</si>
  <si>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</si>
  <si>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</si>
  <si>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</si>
  <si>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</si>
  <si>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</si>
  <si>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</si>
  <si>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</si>
  <si>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</si>
  <si>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</si>
  <si>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</si>
  <si>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</si>
  <si>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</si>
  <si>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</si>
  <si>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</si>
  <si>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</si>
  <si>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</si>
  <si>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</si>
  <si>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</si>
  <si>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</si>
  <si>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</si>
  <si>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</si>
  <si>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</si>
  <si>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</si>
  <si>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</si>
  <si>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</si>
  <si>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</si>
  <si>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</si>
  <si>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</si>
  <si>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</si>
  <si>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</si>
  <si>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</si>
  <si>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</si>
  <si>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</si>
  <si>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</si>
  <si>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</si>
  <si>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</si>
  <si>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</si>
  <si>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</si>
  <si>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</si>
  <si>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</si>
  <si>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</si>
  <si>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</si>
  <si>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</si>
  <si>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</si>
  <si>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</si>
  <si>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</si>
  <si>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</si>
  <si>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</si>
  <si>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</si>
  <si>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</si>
  <si>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</si>
  <si>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</si>
  <si>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</si>
  <si>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</si>
  <si>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</si>
  <si>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</si>
  <si>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</si>
  <si>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</si>
  <si>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</si>
  <si>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</si>
  <si>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</si>
  <si>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</si>
  <si>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</si>
  <si>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</si>
  <si>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</si>
  <si>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</si>
  <si>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</si>
  <si>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</si>
  <si>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</si>
  <si>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</si>
  <si>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</si>
  <si>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</si>
  <si>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</si>
  <si>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</si>
  <si>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</si>
  <si>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</si>
  <si>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</si>
  <si>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</si>
  <si>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</si>
  <si>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</si>
  <si>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</si>
  <si>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</si>
  <si>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</si>
  <si>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</si>
  <si>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</si>
  <si>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</si>
  <si>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</si>
  <si>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</si>
  <si>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</si>
  <si>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</si>
  <si>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</si>
  <si>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</si>
  <si>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</si>
  <si>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</si>
  <si>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</si>
  <si>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</si>
  <si>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</si>
  <si>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</si>
  <si>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</si>
  <si>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</si>
  <si>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</si>
  <si>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</si>
  <si>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</si>
  <si>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</si>
  <si>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</si>
  <si>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</si>
  <si>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</si>
  <si>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</si>
  <si>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</si>
  <si>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</si>
  <si>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</si>
  <si>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</si>
  <si>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</si>
  <si>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</si>
  <si>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</si>
  <si>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</si>
  <si>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</si>
  <si>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</si>
  <si>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</si>
  <si>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</si>
  <si>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</si>
  <si>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</si>
  <si>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</si>
  <si>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</si>
  <si>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</si>
  <si>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</si>
  <si>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</si>
  <si>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</si>
  <si>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</si>
  <si>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</si>
  <si>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</si>
  <si>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</si>
  <si>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</si>
  <si>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</si>
  <si>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</si>
  <si>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</si>
  <si>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</si>
  <si>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</si>
  <si>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</si>
  <si>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</si>
  <si>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</si>
  <si>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</si>
  <si>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</si>
  <si>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</si>
  <si>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</si>
  <si>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</si>
  <si>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</si>
  <si>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</si>
  <si>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</si>
  <si>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</si>
  <si>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</si>
  <si>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</si>
  <si>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</si>
  <si>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</si>
  <si>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</si>
  <si>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</si>
  <si>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</si>
  <si>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</si>
  <si>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</si>
  <si>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</si>
  <si>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</si>
  <si>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</si>
  <si>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</si>
  <si>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</si>
  <si>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</si>
  <si>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</si>
  <si>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</si>
  <si>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</si>
  <si>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</si>
  <si>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</si>
  <si>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</si>
  <si>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</si>
  <si>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</si>
  <si>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</si>
  <si>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</si>
  <si>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</si>
  <si>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</si>
  <si>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</si>
  <si>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</si>
  <si>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</si>
  <si>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</si>
  <si>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</si>
  <si>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</si>
  <si>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</si>
  <si>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</si>
  <si>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</si>
  <si>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</si>
  <si>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</si>
  <si>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</si>
  <si>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</si>
  <si>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</si>
  <si>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</si>
  <si>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</si>
  <si>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</si>
  <si>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</si>
  <si>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</si>
  <si>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</si>
  <si>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</si>
  <si>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</si>
  <si>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</si>
  <si>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</si>
  <si>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</si>
  <si>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</si>
  <si>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</si>
  <si>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</si>
  <si>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</si>
  <si>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</si>
  <si>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</si>
  <si>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</si>
  <si>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</si>
  <si>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</si>
  <si>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</si>
  <si>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</si>
  <si>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</si>
  <si>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</si>
  <si>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</si>
  <si>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</si>
  <si>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</si>
  <si>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</si>
  <si>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</si>
  <si>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</si>
  <si>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</si>
  <si>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</si>
  <si>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</si>
  <si>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</si>
  <si>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</si>
  <si>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</si>
  <si>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</si>
  <si>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</si>
  <si>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</si>
  <si>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</si>
  <si>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</si>
  <si>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</si>
  <si>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</si>
  <si>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</si>
  <si>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</si>
  <si>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</si>
  <si>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</si>
  <si>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</si>
  <si>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</si>
  <si>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</si>
  <si>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</si>
  <si>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</si>
  <si>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</si>
  <si>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</si>
  <si>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</si>
  <si>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</si>
  <si>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</si>
  <si>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</si>
  <si>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</si>
  <si>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</si>
  <si>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</si>
  <si>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</si>
  <si>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</si>
  <si>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</si>
  <si>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</si>
  <si>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</si>
  <si>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</si>
  <si>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</si>
  <si>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</si>
  <si>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</si>
  <si>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</si>
  <si>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</si>
  <si>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</si>
  <si>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</si>
  <si>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</si>
  <si>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</si>
  <si>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</si>
  <si>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</si>
  <si>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</si>
  <si>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</si>
  <si>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</si>
  <si>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</si>
  <si>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</si>
  <si>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</si>
  <si>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</si>
  <si>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</si>
  <si>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</si>
  <si>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</si>
  <si>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</si>
  <si>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</si>
  <si>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</si>
  <si>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</si>
  <si>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</si>
  <si>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</si>
  <si>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</si>
  <si>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</si>
  <si>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</si>
  <si>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</si>
  <si>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</si>
  <si>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</si>
  <si>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</si>
  <si>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</si>
  <si>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</si>
  <si>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</si>
  <si>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</si>
  <si>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</si>
  <si>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</si>
  <si>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</si>
  <si>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</si>
  <si>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</si>
  <si>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</si>
  <si>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</si>
  <si>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</si>
  <si>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</si>
  <si>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</si>
  <si>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</si>
  <si>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</si>
  <si>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</si>
  <si>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</si>
  <si>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</si>
  <si>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</si>
  <si>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</si>
  <si>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</si>
  <si>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</si>
  <si>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</si>
  <si>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</si>
  <si>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</si>
  <si>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</si>
  <si>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</si>
  <si>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</si>
  <si>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</si>
  <si>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</si>
  <si>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</si>
  <si>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</si>
  <si>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</si>
  <si>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</si>
  <si>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</si>
  <si>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</si>
  <si>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</si>
  <si>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</si>
  <si>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</si>
  <si>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</si>
  <si>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</si>
  <si>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</si>
  <si>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</si>
  <si>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</si>
  <si>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</si>
  <si>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</si>
  <si>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</si>
  <si>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</si>
  <si>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</si>
  <si>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</si>
  <si>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</si>
  <si>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</si>
  <si>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</si>
  <si>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</si>
  <si>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</si>
  <si>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</si>
  <si>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</si>
  <si>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</si>
  <si>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</si>
  <si>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</si>
  <si>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</si>
  <si>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</si>
  <si>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</si>
  <si>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</si>
  <si>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</si>
  <si>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</si>
  <si>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</si>
  <si>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</si>
  <si>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</si>
  <si>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</si>
  <si>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</si>
  <si>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</si>
  <si>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</si>
  <si>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</si>
  <si>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</si>
  <si>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</si>
  <si>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</si>
  <si>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</si>
  <si>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</si>
  <si>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</si>
  <si>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</si>
  <si>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</si>
  <si>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</si>
  <si>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</si>
  <si>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</si>
  <si>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</si>
  <si>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</si>
  <si>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</si>
  <si>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</si>
  <si>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</si>
  <si>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</si>
  <si>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</si>
  <si>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</si>
  <si>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</si>
  <si>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</si>
  <si>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</si>
  <si>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</si>
  <si>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</si>
  <si>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</si>
  <si>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</si>
  <si>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</si>
  <si>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</si>
  <si>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</si>
  <si>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</si>
  <si>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</si>
  <si>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</si>
  <si>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</si>
  <si>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</si>
  <si>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</si>
  <si>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</si>
  <si>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</si>
  <si>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</si>
  <si>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</si>
  <si>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</si>
  <si>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</si>
  <si>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</si>
  <si>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</si>
  <si>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</si>
  <si>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</si>
  <si>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</si>
  <si>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</si>
  <si>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</si>
  <si>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</si>
  <si>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</si>
  <si>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</si>
  <si>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</si>
  <si>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</si>
  <si>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</si>
  <si>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</si>
  <si>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</si>
  <si>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</si>
  <si>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</si>
  <si>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</si>
  <si>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</si>
  <si>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</si>
  <si>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</si>
  <si>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</si>
  <si>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</si>
  <si>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</si>
  <si>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</si>
  <si>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</si>
  <si>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</si>
  <si>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</si>
  <si>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</si>
  <si>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</si>
  <si>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</si>
  <si>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</si>
  <si>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</si>
  <si>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</si>
  <si>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</si>
  <si>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</si>
  <si>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</si>
  <si>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</si>
  <si>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</si>
  <si>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</si>
  <si>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</si>
  <si>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</si>
  <si>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</si>
  <si>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</si>
  <si>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</si>
  <si>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</si>
  <si>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</si>
  <si>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</si>
  <si>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</si>
  <si>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</si>
  <si>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</si>
  <si>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</si>
  <si>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</si>
  <si>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</si>
  <si>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</si>
  <si>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</si>
  <si>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</si>
  <si>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</si>
  <si>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</si>
  <si>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</si>
  <si>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</si>
  <si>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</si>
  <si>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</si>
  <si>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</si>
  <si>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</si>
  <si>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</si>
  <si>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</si>
  <si>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</si>
  <si>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</si>
  <si>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</si>
  <si>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</si>
  <si>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</si>
  <si>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</si>
  <si>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</si>
  <si>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</si>
  <si>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</si>
  <si>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</si>
  <si>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</si>
  <si>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</si>
  <si>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</si>
  <si>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</si>
  <si>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</si>
  <si>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</si>
  <si>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</si>
  <si>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</si>
  <si>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</si>
  <si>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</si>
  <si>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</si>
  <si>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</si>
  <si>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</si>
  <si>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</si>
  <si>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</si>
  <si>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</si>
  <si>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</si>
  <si>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</si>
  <si>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</si>
  <si>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</si>
  <si>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</si>
  <si>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</si>
  <si>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</si>
  <si>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</si>
  <si>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</si>
  <si>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</si>
  <si>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</si>
  <si>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</si>
  <si>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</si>
  <si>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</si>
  <si>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</si>
  <si>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</si>
  <si>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</si>
  <si>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</si>
  <si>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</si>
  <si>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</si>
  <si>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</si>
  <si>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</si>
  <si>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</si>
  <si>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</si>
  <si>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</si>
  <si>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</si>
  <si>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</si>
  <si>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</si>
  <si>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</si>
  <si>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</si>
  <si>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</si>
  <si>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</si>
  <si>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</si>
  <si>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</si>
  <si>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</si>
  <si>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</si>
  <si>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</si>
  <si>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</si>
  <si>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</si>
  <si>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</si>
  <si>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</si>
  <si>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</si>
  <si>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</si>
  <si>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</si>
  <si>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</si>
  <si>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</si>
  <si>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</si>
  <si>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</si>
  <si>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</si>
  <si>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</si>
  <si>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</si>
  <si>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</si>
  <si>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</si>
  <si>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</si>
  <si>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</si>
  <si>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</si>
  <si>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</si>
  <si>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</si>
  <si>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</si>
  <si>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</si>
  <si>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</si>
  <si>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</si>
  <si>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</si>
  <si>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</si>
  <si>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</si>
  <si>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</si>
  <si>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</si>
  <si>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</si>
  <si>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</si>
  <si>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</si>
  <si>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</si>
  <si>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</si>
  <si>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</si>
  <si>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</si>
  <si>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</si>
  <si>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</si>
  <si>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</si>
  <si>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</si>
  <si>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</si>
  <si>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</si>
  <si>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</si>
  <si>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</si>
  <si>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</si>
  <si>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</si>
  <si>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</si>
  <si>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</si>
  <si>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</si>
  <si>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</si>
  <si>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</si>
  <si>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</si>
  <si>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</si>
  <si>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</si>
  <si>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</si>
  <si>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</si>
  <si>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</si>
  <si>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</si>
  <si>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</si>
  <si>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</si>
  <si>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</si>
  <si>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</si>
  <si>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</si>
  <si>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</si>
  <si>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</si>
  <si>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</si>
  <si>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</si>
  <si>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</si>
  <si>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</si>
  <si>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</si>
  <si>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</si>
  <si>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</si>
  <si>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</si>
  <si>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</si>
  <si>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</si>
  <si>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</si>
  <si>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</si>
  <si>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</si>
  <si>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</si>
  <si>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</si>
  <si>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</si>
  <si>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</si>
  <si>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</si>
  <si>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</si>
  <si>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</si>
  <si>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</si>
  <si>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</si>
  <si>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</si>
  <si>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</si>
  <si>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</si>
  <si>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</si>
  <si>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</si>
  <si>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</si>
  <si>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</si>
  <si>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</si>
  <si>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</si>
  <si>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</si>
  <si>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</si>
  <si>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</si>
  <si>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</si>
  <si>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</si>
  <si>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</si>
  <si>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</si>
  <si>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</si>
  <si>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</si>
  <si>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</si>
  <si>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</si>
  <si>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</si>
  <si>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</si>
  <si>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</si>
  <si>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</si>
  <si>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</si>
  <si>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</si>
  <si>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</si>
  <si>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</si>
  <si>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</si>
  <si>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</si>
  <si>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</si>
  <si>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</si>
  <si>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</si>
  <si>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</si>
  <si>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</si>
  <si>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</si>
  <si>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</si>
  <si>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</si>
  <si>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</si>
  <si>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</si>
  <si>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</si>
  <si>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</si>
  <si>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</si>
  <si>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</si>
  <si>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</si>
  <si>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</si>
  <si>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</si>
  <si>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</si>
  <si>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</si>
  <si>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</si>
  <si>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</si>
  <si>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</si>
  <si>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</si>
  <si>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</si>
  <si>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</si>
  <si>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</si>
  <si>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</si>
  <si>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</si>
  <si>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</si>
  <si>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</si>
  <si>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</si>
  <si>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</si>
  <si>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</si>
  <si>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</si>
  <si>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</si>
  <si>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</si>
  <si>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</si>
  <si>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</si>
  <si>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</si>
  <si>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</si>
  <si>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</si>
  <si>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</si>
  <si>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</si>
  <si>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</si>
  <si>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</si>
  <si>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</si>
  <si>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</si>
  <si>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</si>
  <si>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</si>
  <si>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</si>
  <si>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</si>
  <si>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</si>
  <si>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</si>
  <si>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</si>
  <si>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</si>
  <si>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</si>
  <si>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</si>
  <si>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</si>
  <si>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</si>
  <si>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</si>
  <si>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</si>
  <si>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</si>
  <si>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</si>
  <si>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</si>
  <si>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</si>
  <si>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</si>
  <si>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</si>
  <si>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</si>
  <si>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</si>
  <si>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</si>
  <si>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</si>
  <si>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</si>
  <si>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</si>
  <si>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</si>
  <si>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</si>
  <si>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</si>
  <si>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</si>
  <si>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</si>
  <si>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</si>
  <si>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</si>
  <si>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</si>
  <si>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</si>
  <si>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</si>
  <si>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</si>
  <si>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</si>
  <si>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</si>
  <si>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</si>
  <si>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</si>
  <si>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</si>
  <si>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</si>
  <si>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</si>
  <si>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</si>
  <si>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</si>
  <si>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</si>
  <si>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</si>
  <si>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</si>
  <si>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</si>
  <si>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</si>
  <si>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</si>
  <si>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</si>
  <si>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</si>
  <si>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</si>
  <si>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</si>
  <si>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</si>
  <si>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</si>
  <si>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</si>
  <si>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</si>
  <si>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</si>
  <si>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</si>
  <si>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</si>
  <si>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</si>
  <si>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</si>
  <si>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</si>
  <si>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</si>
  <si>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</si>
  <si>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</si>
  <si>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</si>
  <si>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</si>
  <si>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</si>
  <si>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</si>
  <si>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</si>
  <si>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</si>
  <si>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</si>
  <si>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</si>
  <si>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</si>
  <si>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</si>
  <si>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</si>
  <si>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</si>
  <si>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</si>
  <si>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</si>
  <si>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</si>
  <si>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</si>
  <si>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</si>
  <si>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</si>
  <si>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</si>
  <si>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</si>
  <si>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</si>
  <si>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</si>
  <si>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</si>
  <si>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</si>
  <si>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</si>
  <si>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</si>
  <si>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</si>
  <si>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</si>
  <si>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</si>
  <si>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</si>
  <si>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</si>
  <si>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</si>
  <si>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</si>
  <si>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</si>
  <si>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</si>
  <si>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</si>
  <si>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</si>
  <si>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</si>
  <si>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</si>
  <si>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</si>
  <si>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</si>
  <si>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</si>
  <si>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</si>
  <si>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</si>
  <si>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</si>
  <si>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</si>
  <si>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</si>
  <si>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</si>
  <si>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</si>
  <si>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</si>
  <si>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</si>
  <si>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</si>
  <si>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</si>
  <si>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</si>
  <si>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</si>
  <si>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</si>
  <si>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</si>
  <si>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</si>
  <si>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</si>
  <si>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</si>
  <si>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</si>
  <si>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</si>
  <si>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</si>
  <si>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</si>
  <si>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</si>
  <si>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</si>
  <si>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</si>
  <si>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</si>
  <si>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</si>
  <si>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</si>
  <si>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</si>
  <si>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</si>
  <si>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</si>
  <si>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</si>
  <si>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</si>
  <si>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</si>
  <si>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</si>
  <si>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</si>
  <si>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</si>
  <si>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</si>
  <si>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</si>
  <si>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</si>
  <si>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</si>
  <si>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</si>
  <si>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</si>
  <si>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</si>
  <si>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</si>
  <si>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</si>
  <si>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</si>
  <si>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</si>
  <si>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</si>
  <si>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</si>
  <si>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</si>
  <si>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</si>
  <si>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</si>
  <si>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</si>
  <si>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</si>
  <si>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</si>
  <si>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</si>
  <si>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</si>
  <si>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</si>
  <si>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</si>
  <si>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</si>
  <si>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</si>
  <si>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</si>
  <si>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</si>
  <si>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</si>
  <si>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</si>
  <si>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</si>
  <si>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</si>
  <si>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</si>
  <si>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</si>
  <si>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</si>
  <si>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</si>
  <si>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</si>
  <si>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</si>
  <si>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</si>
  <si>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</si>
  <si>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</si>
  <si>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</si>
  <si>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</si>
  <si>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</si>
  <si>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</si>
  <si>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</si>
  <si>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</si>
  <si>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</si>
  <si>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</si>
  <si>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</si>
  <si>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</si>
  <si>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</si>
  <si>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</si>
  <si>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</si>
  <si>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</si>
  <si>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</si>
  <si>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</si>
  <si>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</si>
  <si>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</si>
  <si>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</si>
  <si>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</si>
  <si>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</si>
  <si>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</si>
  <si>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</si>
  <si>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</si>
  <si>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</si>
  <si>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</si>
  <si>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</si>
  <si>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</si>
  <si>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</si>
  <si>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</si>
  <si>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</si>
  <si>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</si>
  <si>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</si>
  <si>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</si>
  <si>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</si>
  <si>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</si>
  <si>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</si>
  <si>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</si>
  <si>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</si>
  <si>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</si>
  <si>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</si>
  <si>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</si>
  <si>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</si>
  <si>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</si>
  <si>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</si>
  <si>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</si>
  <si>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</si>
  <si>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</si>
  <si>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</si>
  <si>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</si>
  <si>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</si>
  <si>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</si>
  <si>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</si>
  <si>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</si>
  <si>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</si>
  <si>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</si>
  <si>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</si>
  <si>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</si>
  <si>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</si>
  <si>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</si>
  <si>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</si>
  <si>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</si>
  <si>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</si>
  <si>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</si>
  <si>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</si>
  <si>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</si>
  <si>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</si>
  <si>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</si>
  <si>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</si>
  <si>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</si>
  <si>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</si>
  <si>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</si>
  <si>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</si>
  <si>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</si>
  <si>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</si>
  <si>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</si>
  <si>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</si>
  <si>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</si>
  <si>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</si>
  <si>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</si>
  <si>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</si>
  <si>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</si>
  <si>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</si>
  <si>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</si>
  <si>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</si>
  <si>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</si>
  <si>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</si>
  <si>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</si>
  <si>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</si>
  <si>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Real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</si>
</sst>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90" zoomScaleNormal="90" workbookViewId="0">
      <selection activeCell="P101" sqref="P10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3" t="s">
        <v>1660</v>
      </c>
      <c r="B1" s="263"/>
      <c r="C1" s="263"/>
      <c r="D1" s="263"/>
      <c r="E1" s="263"/>
      <c r="F1" s="263"/>
      <c r="G1" s="263"/>
      <c r="H1" s="263"/>
      <c r="I1" s="263"/>
      <c r="J1" s="263"/>
      <c r="K1" s="263"/>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4" t="s">
        <v>12</v>
      </c>
      <c r="B3" s="264"/>
      <c r="C3" s="264"/>
      <c r="D3" s="264"/>
      <c r="E3" s="264"/>
      <c r="F3" s="265" t="s">
        <v>24</v>
      </c>
      <c r="G3" s="265"/>
      <c r="H3" s="265"/>
      <c r="I3" s="265"/>
    </row>
    <row r="4" spans="1:20" ht="16.5" customHeight="1" x14ac:dyDescent="0.2">
      <c r="A4" s="264" t="s">
        <v>208</v>
      </c>
      <c r="B4" s="264"/>
      <c r="C4" s="264"/>
      <c r="D4" s="264"/>
      <c r="E4" s="264"/>
      <c r="F4" s="266" t="s">
        <v>1803</v>
      </c>
      <c r="G4" s="266"/>
      <c r="H4" s="266"/>
      <c r="I4" s="266"/>
    </row>
    <row r="5" spans="1:20" ht="16.5" customHeight="1" x14ac:dyDescent="0.2">
      <c r="A5" s="264" t="s">
        <v>1639</v>
      </c>
      <c r="B5" s="264"/>
      <c r="C5" s="264"/>
      <c r="D5" s="264"/>
      <c r="E5" s="264"/>
      <c r="F5" s="266" t="s">
        <v>687</v>
      </c>
      <c r="G5" s="266"/>
      <c r="H5" s="266"/>
      <c r="I5" s="266"/>
      <c r="L5" s="39"/>
      <c r="M5" s="39"/>
      <c r="N5" s="39"/>
      <c r="O5" s="39"/>
      <c r="P5" s="39"/>
      <c r="Q5" s="39"/>
    </row>
    <row r="6" spans="1:20" ht="16.5" customHeight="1" x14ac:dyDescent="0.25">
      <c r="A6" s="264" t="s">
        <v>1682</v>
      </c>
      <c r="B6" s="264"/>
      <c r="C6" s="264"/>
      <c r="D6" s="264"/>
      <c r="E6" s="264"/>
      <c r="F6" s="267">
        <v>317</v>
      </c>
      <c r="G6" s="267"/>
      <c r="H6" s="267"/>
      <c r="I6" s="267"/>
      <c r="L6" s="40"/>
      <c r="M6" s="40"/>
      <c r="N6" s="40"/>
      <c r="O6" s="40"/>
      <c r="P6" s="39"/>
      <c r="Q6" s="39"/>
    </row>
    <row r="7" spans="1:20" ht="16.5" customHeight="1" x14ac:dyDescent="0.25">
      <c r="A7" s="264" t="s">
        <v>3</v>
      </c>
      <c r="B7" s="264"/>
      <c r="C7" s="264"/>
      <c r="D7" s="264"/>
      <c r="E7" s="264"/>
      <c r="F7" s="267" t="s">
        <v>123</v>
      </c>
      <c r="G7" s="267"/>
      <c r="H7" s="267"/>
      <c r="I7" s="267"/>
      <c r="K7" s="96"/>
      <c r="L7" s="40"/>
      <c r="M7" s="40"/>
      <c r="N7" s="40"/>
      <c r="O7" s="40"/>
      <c r="P7" s="39"/>
      <c r="Q7" s="39"/>
    </row>
    <row r="8" spans="1:20" ht="16.5" customHeight="1" x14ac:dyDescent="0.25">
      <c r="A8" s="264" t="s">
        <v>1640</v>
      </c>
      <c r="B8" s="264"/>
      <c r="C8" s="264"/>
      <c r="D8" s="264"/>
      <c r="E8" s="264"/>
      <c r="F8" s="267" t="s">
        <v>164</v>
      </c>
      <c r="G8" s="267"/>
      <c r="H8" s="267"/>
      <c r="I8" s="267"/>
      <c r="K8" s="96"/>
      <c r="L8" s="40"/>
      <c r="M8" s="40"/>
      <c r="N8" s="40"/>
      <c r="O8" s="40"/>
      <c r="P8" s="39"/>
      <c r="Q8" s="39"/>
    </row>
    <row r="9" spans="1:20" ht="16.5" customHeight="1" x14ac:dyDescent="0.25">
      <c r="A9" s="264" t="s">
        <v>1638</v>
      </c>
      <c r="B9" s="264"/>
      <c r="C9" s="264"/>
      <c r="D9" s="264"/>
      <c r="E9" s="264"/>
      <c r="F9" s="268" t="str">
        <f>IFERROR(IF(F7="Proprietary","Proprietary Fund",VLOOKUP(F5,qryIndex02a!$A$2:$K$654,4,FALSE)),"Unidentified")</f>
        <v>BUS, CONSUMER SERV, HOUSING</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0" t="s">
        <v>1672</v>
      </c>
      <c r="N14" s="261"/>
      <c r="O14" s="188"/>
      <c r="P14" s="260" t="s">
        <v>1667</v>
      </c>
      <c r="Q14" s="261"/>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17677166</v>
      </c>
      <c r="M17" s="196">
        <v>17677166</v>
      </c>
      <c r="P17" s="196">
        <v>16973647</v>
      </c>
      <c r="Q17" s="224"/>
      <c r="S17" s="223">
        <f t="shared" si="0"/>
        <v>-703519</v>
      </c>
      <c r="T17" s="251" t="s">
        <v>1760</v>
      </c>
    </row>
    <row r="18" spans="1:20" ht="16.5" customHeight="1" x14ac:dyDescent="0.25">
      <c r="A18" s="99"/>
      <c r="B18" s="26" t="s">
        <v>178</v>
      </c>
      <c r="C18" s="26"/>
      <c r="D18" s="26"/>
      <c r="E18" s="193"/>
      <c r="F18" s="194"/>
      <c r="G18" s="194"/>
      <c r="H18" s="195"/>
      <c r="I18" s="195"/>
      <c r="J18" s="248">
        <f>P18</f>
        <v>521106</v>
      </c>
      <c r="M18" s="196">
        <v>391360</v>
      </c>
      <c r="P18" s="221">
        <f>IF(SUM($Q$20:$Q$23)&gt;SUM($P$15:$P$17),SUM($Q$20:$Q$23)-SUM($P$15:$P$17),0)</f>
        <v>521106</v>
      </c>
      <c r="Q18" s="224"/>
      <c r="S18" s="223">
        <f t="shared" si="0"/>
        <v>129746</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4561452</v>
      </c>
      <c r="N22" s="196">
        <v>4561452</v>
      </c>
      <c r="P22" s="224"/>
      <c r="Q22" s="196">
        <v>4349894</v>
      </c>
      <c r="S22" s="223">
        <f t="shared" ref="S22:S25" si="1">Q22-N22</f>
        <v>-211558</v>
      </c>
      <c r="T22" s="250" t="s">
        <v>1730</v>
      </c>
    </row>
    <row r="23" spans="1:20" ht="16.5" customHeight="1" x14ac:dyDescent="0.25">
      <c r="A23" s="234" t="s">
        <v>1697</v>
      </c>
      <c r="B23" s="26"/>
      <c r="C23" s="26" t="s">
        <v>183</v>
      </c>
      <c r="D23" s="26"/>
      <c r="E23" s="193"/>
      <c r="F23" s="194"/>
      <c r="G23" s="194"/>
      <c r="H23" s="195"/>
      <c r="I23" s="195"/>
      <c r="J23" s="213"/>
      <c r="K23" s="248">
        <f>N23</f>
        <v>13507074</v>
      </c>
      <c r="N23" s="196">
        <v>13507074</v>
      </c>
      <c r="P23" s="224"/>
      <c r="Q23" s="196">
        <v>13144859</v>
      </c>
      <c r="S23" s="223">
        <f t="shared" si="1"/>
        <v>-362215</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129746</v>
      </c>
      <c r="N25" s="196"/>
      <c r="P25" s="224"/>
      <c r="Q25" s="224"/>
      <c r="S25" s="223">
        <f t="shared" si="1"/>
        <v>0</v>
      </c>
      <c r="T25" s="250" t="s">
        <v>1730</v>
      </c>
    </row>
    <row r="26" spans="1:20" ht="16.5" customHeight="1" x14ac:dyDescent="0.25">
      <c r="A26" s="99"/>
      <c r="C26" s="47"/>
      <c r="D26" s="47"/>
      <c r="E26" s="47"/>
      <c r="F26" s="179"/>
      <c r="G26" s="179"/>
      <c r="H26" s="49"/>
      <c r="I26" s="49"/>
      <c r="J26" s="155">
        <f>SUM(J15:J25)</f>
        <v>18198272</v>
      </c>
      <c r="K26" s="155">
        <f>SUM(K15:K25)</f>
        <v>18198272</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0825 - BUS, CONSUMER SERV, HOUSING</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2534479</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2534479</v>
      </c>
    </row>
    <row r="59" spans="1:16" ht="16.5" customHeight="1" x14ac:dyDescent="0.25">
      <c r="A59" s="99"/>
      <c r="C59" s="43"/>
      <c r="D59" s="43"/>
      <c r="E59" s="43"/>
      <c r="F59" s="44"/>
      <c r="G59" s="44"/>
      <c r="H59" s="45"/>
      <c r="I59" s="45"/>
      <c r="J59" s="155">
        <f>SUM(J55:J58)</f>
        <v>2534479</v>
      </c>
      <c r="K59" s="155">
        <f>SUM(K55:K58)</f>
        <v>2534479</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2476660</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186314</v>
      </c>
      <c r="K63" s="200"/>
    </row>
    <row r="64" spans="1:16" ht="16.5" customHeight="1" x14ac:dyDescent="0.25">
      <c r="A64" s="99"/>
      <c r="B64" s="26"/>
      <c r="C64" s="26" t="str">
        <f>IF($F$7="Proprietary","Cr: Acct 0870 - SERVICES &amp; CHARGES (MG ADJ)",VLOOKUP($F$9,'Drop Down Menus'!$F$2:$G$10,2,FALSE))</f>
        <v>Cr: Acct 0825 - BUS, CONSUMER SERV, HOUSING</v>
      </c>
      <c r="D64" s="193"/>
      <c r="E64" s="193"/>
      <c r="F64" s="194"/>
      <c r="G64" s="194"/>
      <c r="H64" s="195"/>
      <c r="I64" s="195"/>
      <c r="J64" s="200"/>
      <c r="K64" s="196">
        <v>2662974</v>
      </c>
    </row>
    <row r="65" spans="1:12" ht="16.5" customHeight="1" x14ac:dyDescent="0.25">
      <c r="A65" s="99"/>
      <c r="C65" s="43"/>
      <c r="D65" s="43"/>
      <c r="E65" s="43"/>
      <c r="F65" s="44"/>
      <c r="G65" s="44"/>
      <c r="H65" s="45"/>
      <c r="I65" s="45"/>
      <c r="J65" s="155">
        <f>SUM(J62:J64)</f>
        <v>2662974</v>
      </c>
      <c r="K65" s="155">
        <f>SUM(K62:K64)</f>
        <v>2662974</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2476660</v>
      </c>
      <c r="K68" s="197"/>
    </row>
    <row r="69" spans="1:12" ht="16.5" customHeight="1" x14ac:dyDescent="0.25">
      <c r="A69" s="99"/>
      <c r="B69" s="26"/>
      <c r="C69" s="26" t="s">
        <v>202</v>
      </c>
      <c r="D69" s="193"/>
      <c r="E69" s="193"/>
      <c r="F69" s="194"/>
      <c r="G69" s="194"/>
      <c r="H69" s="195"/>
      <c r="I69" s="195"/>
      <c r="J69" s="197"/>
      <c r="K69" s="196">
        <v>2476660</v>
      </c>
      <c r="L69" s="37" t="str">
        <f>IF($J$62=$K$69,"","&lt;- Accts 0848 must agree")</f>
        <v/>
      </c>
    </row>
    <row r="70" spans="1:12" ht="16.5" customHeight="1" x14ac:dyDescent="0.25">
      <c r="A70" s="99"/>
      <c r="C70" s="43"/>
      <c r="D70" s="43"/>
      <c r="E70" s="43"/>
      <c r="F70" s="44"/>
      <c r="G70" s="44"/>
      <c r="H70" s="45"/>
      <c r="I70" s="45"/>
      <c r="J70" s="155">
        <f>SUM(J68:J69)</f>
        <v>2476660</v>
      </c>
      <c r="K70" s="155">
        <f>SUM(K68:K69)</f>
        <v>2476660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2536401</v>
      </c>
      <c r="K75" s="197"/>
    </row>
    <row r="76" spans="1:12" ht="16.5" customHeight="1" x14ac:dyDescent="0.25">
      <c r="A76" s="99"/>
      <c r="B76" s="26"/>
      <c r="C76" s="26" t="s">
        <v>210</v>
      </c>
      <c r="D76" s="193"/>
      <c r="E76" s="193"/>
      <c r="F76" s="194"/>
      <c r="G76" s="194"/>
      <c r="H76" s="195"/>
      <c r="I76" s="195"/>
      <c r="J76" s="197"/>
      <c r="K76" s="196">
        <v>2536401</v>
      </c>
    </row>
    <row r="77" spans="1:12" ht="16.5" customHeight="1" x14ac:dyDescent="0.2">
      <c r="A77" s="99"/>
      <c r="B77" s="262" t="s">
        <v>1737</v>
      </c>
      <c r="C77" s="262"/>
      <c r="D77" s="262"/>
      <c r="E77" s="262"/>
      <c r="F77" s="262"/>
      <c r="G77" s="262"/>
      <c r="H77" s="262"/>
      <c r="I77" s="262"/>
      <c r="J77" s="155">
        <f>SUM(J75:J76)</f>
        <v>2536401</v>
      </c>
      <c r="K77" s="155">
        <f>SUM(K75:K76)</f>
        <v>2536401</v>
      </c>
      <c r="L77" s="53" t="str">
        <f>IF(J77=K77,"&lt;- Debits and Credits equal each other.","&lt;- Debits and Credits do not equal each other.")</f>
        <v>&lt;- Debits and Credits equal each other.</v>
      </c>
    </row>
    <row r="78" spans="1:12" ht="16.5" customHeight="1" x14ac:dyDescent="0.2">
      <c r="A78" s="99"/>
      <c r="B78" s="262"/>
      <c r="C78" s="262"/>
      <c r="D78" s="262"/>
      <c r="E78" s="262"/>
      <c r="F78" s="262"/>
      <c r="G78" s="262"/>
      <c r="H78" s="262"/>
      <c r="I78" s="262"/>
      <c r="J78" s="155"/>
      <c r="K78" s="155"/>
      <c r="L78" s="21"/>
    </row>
    <row r="79" spans="1:12" ht="24.6" customHeight="1" x14ac:dyDescent="0.2">
      <c r="A79" s="99"/>
      <c r="B79" s="262"/>
      <c r="C79" s="262"/>
      <c r="D79" s="262"/>
      <c r="E79" s="262"/>
      <c r="F79" s="262"/>
      <c r="G79" s="262"/>
      <c r="H79" s="262"/>
      <c r="I79" s="262"/>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0825 - BUS, CONSUMER SERV, HOUSING</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0825 - BUS, CONSUMER SERV, HOUSING</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17677166</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-7095931</v>
      </c>
    </row>
    <row r="128" spans="1:12" ht="16.5" customHeight="1" x14ac:dyDescent="0.25">
      <c r="D128" s="193" t="s">
        <v>1708</v>
      </c>
      <c r="H128" s="37"/>
      <c r="K128" s="238">
        <f>-K23-K48+J68+J75+J96-K113</f>
        <v>-8494013</v>
      </c>
    </row>
    <row r="129" spans="4:11" ht="16.5" customHeight="1" x14ac:dyDescent="0.25">
      <c r="D129" s="193" t="s">
        <v>1709</v>
      </c>
      <c r="H129" s="37"/>
      <c r="K129" s="238">
        <f>-K76</f>
        <v>-2536401</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90" zoomScaleNormal="90" workbookViewId="0">
      <selection activeCell="B19" sqref="B1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2320</v>
      </c>
      <c r="C9" s="282"/>
      <c r="D9" s="5"/>
      <c r="E9" s="5"/>
      <c r="F9" s="5"/>
    </row>
    <row r="10" spans="1:13" ht="15.75" x14ac:dyDescent="0.25">
      <c r="A10" s="12" t="s">
        <v>208</v>
      </c>
      <c r="B10" s="283" t="s">
        <v>1803</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2536401</v>
      </c>
      <c r="C13" s="100">
        <v>155656</v>
      </c>
      <c r="D13" s="272" t="s">
        <v>6</v>
      </c>
      <c r="E13" s="273"/>
      <c r="F13" s="273"/>
      <c r="G13" s="57"/>
      <c r="H13" s="57"/>
      <c r="I13" s="57"/>
      <c r="J13" s="57"/>
      <c r="K13" s="57"/>
      <c r="L13" s="57"/>
      <c r="M13" s="57"/>
    </row>
    <row r="14" spans="1:13" x14ac:dyDescent="0.2">
      <c r="A14" s="84" t="str">
        <f>LEFT(A13,4)+1&amp;"–"&amp;RIGHT(A13,4)+1</f>
        <v>2025–2026</v>
      </c>
      <c r="B14" s="100">
        <v>2660968</v>
      </c>
      <c r="C14" s="100">
        <v>123673</v>
      </c>
      <c r="D14" s="272"/>
      <c r="E14" s="273"/>
      <c r="F14" s="273"/>
    </row>
    <row r="15" spans="1:13" ht="15.75" x14ac:dyDescent="0.2">
      <c r="A15" s="84" t="str">
        <f>LEFT(A14,4)+1&amp;"–"&amp;RIGHT(A14,4)+1</f>
        <v>2026–2027</v>
      </c>
      <c r="B15" s="100">
        <v>2559933</v>
      </c>
      <c r="C15" s="100">
        <v>90380</v>
      </c>
      <c r="D15" s="269" t="s">
        <v>130</v>
      </c>
      <c r="E15" s="269"/>
      <c r="F15" s="269"/>
      <c r="G15" s="58"/>
      <c r="H15" s="58"/>
      <c r="I15" s="58"/>
      <c r="J15" s="58"/>
      <c r="K15" s="58"/>
      <c r="L15" s="58"/>
      <c r="M15" s="58"/>
    </row>
    <row r="16" spans="1:13" x14ac:dyDescent="0.2">
      <c r="A16" s="84" t="str">
        <f>LEFT(A15,4)+1&amp;"–"&amp;RIGHT(A15,4)+1</f>
        <v>2027–2028</v>
      </c>
      <c r="B16" s="100">
        <v>757587</v>
      </c>
      <c r="C16" s="100">
        <v>66501</v>
      </c>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v>776700</v>
      </c>
      <c r="C17" s="100">
        <v>52024</v>
      </c>
      <c r="D17" s="269"/>
      <c r="E17" s="269"/>
      <c r="F17" s="269"/>
      <c r="G17" s="59"/>
      <c r="H17" s="59"/>
      <c r="I17" s="59"/>
      <c r="J17" s="59"/>
      <c r="K17" s="59"/>
    </row>
    <row r="18" spans="1:13" ht="15" customHeight="1" x14ac:dyDescent="0.25">
      <c r="A18" s="84" t="str">
        <f>LEFT(A17,4)+1&amp;"–"&amp;RIGHT(A17,4)+5</f>
        <v>2029–2034</v>
      </c>
      <c r="B18" s="100">
        <v>1738825</v>
      </c>
      <c r="C18" s="100">
        <v>70194</v>
      </c>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130</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2320</v>
      </c>
      <c r="C40" s="278"/>
      <c r="E40" s="60"/>
    </row>
    <row r="41" spans="1:13" ht="15.75" x14ac:dyDescent="0.25">
      <c r="A41" s="12" t="s">
        <v>208</v>
      </c>
      <c r="B41" s="276" t="str">
        <f>B10</f>
        <v>Department of Real Estate</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2320</v>
      </c>
      <c r="C71" s="278"/>
    </row>
    <row r="72" spans="1:13" ht="15.75" x14ac:dyDescent="0.25">
      <c r="A72" s="12" t="s">
        <v>208</v>
      </c>
      <c r="B72" s="276" t="str">
        <f>B10</f>
        <v>Department of Real Estate</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6"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N10" sqref="N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0317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2320 - Department of Real Estate</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0317 Journal Entries'!$F$8="Governmental Fund",'LS-Fund 0317 Journal Entries'!$K$23,0)</f>
        <v>13507074</v>
      </c>
      <c r="G10" s="103"/>
      <c r="H10" s="107">
        <f>IF('LS-Fund 0317 Journal Entries'!$F$8="Governmental Fund",SUM('LS-Fund 0317 Journal Entries'!$K$48,'LS-Fund 0317 Journal Entries'!K113),0)</f>
        <v>0</v>
      </c>
      <c r="I10" s="103"/>
      <c r="J10" s="107">
        <f>IF('LS-Fund 0317 Journal Entries'!$F$8="Governmental Fund",SUM('LS-Fund 0317 Journal Entries'!$J$68,'LS-Fund 0317 Journal Entries'!J96),0)</f>
        <v>2476660</v>
      </c>
      <c r="K10" s="103"/>
      <c r="L10" s="109">
        <f>SUM(F10+H10-J10)</f>
        <v>11030414</v>
      </c>
      <c r="M10" s="103"/>
      <c r="N10" s="107">
        <f>IF('LS-Fund 0317 Journal Entries'!$F$8="Governmental Fund",'LS-Fund 0317 Journal Entries'!$K$76,0)</f>
        <v>2536401</v>
      </c>
      <c r="O10" s="103"/>
      <c r="P10" s="109">
        <f>L10-N10</f>
        <v>8494013</v>
      </c>
      <c r="Q10" s="71"/>
    </row>
    <row r="11" spans="2:17" ht="19.5" thickTop="1" thickBot="1" x14ac:dyDescent="0.3">
      <c r="B11" s="69"/>
      <c r="C11" s="73" t="s">
        <v>21</v>
      </c>
      <c r="F11" s="108">
        <f>SUM(F10:F10)</f>
        <v>13507074</v>
      </c>
      <c r="G11" s="103"/>
      <c r="H11" s="108">
        <f>SUM(H10:H10)</f>
        <v>0</v>
      </c>
      <c r="I11" s="103"/>
      <c r="J11" s="108">
        <f>SUM(J10:J10)</f>
        <v>2476660</v>
      </c>
      <c r="K11" s="103"/>
      <c r="L11" s="108">
        <f>SUM(L10:L10)</f>
        <v>11030414</v>
      </c>
      <c r="M11" s="103"/>
      <c r="N11" s="108">
        <f>SUM(N10:N10)</f>
        <v>2536401</v>
      </c>
      <c r="O11" s="103"/>
      <c r="P11" s="108">
        <f>SUM(P10:P10)</f>
        <v>8494013</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0317 Journal Entries'!$F$8="Proprietary - Internal Service Fund",'LS-Fund 0317 Journal Entries'!$K$23,0)</f>
        <v>0</v>
      </c>
      <c r="G14" s="103"/>
      <c r="H14" s="107">
        <f>IF('LS-Fund 0317 Journal Entries'!$F$8="Proprietary - Internal Service Fund",SUM('LS-Fund 0317 Journal Entries'!$K$48,'LS-Fund 0317 Journal Entries'!K113),0)</f>
        <v>0</v>
      </c>
      <c r="I14" s="103"/>
      <c r="J14" s="107">
        <f>IF('LS-Fund 0317 Journal Entries'!$F$8="Proprietary - Internal Service Fund",SUM('LS-Fund 0317 Journal Entries'!$J$68,'LS-Fund 0317 Journal Entries'!J96),0)</f>
        <v>0</v>
      </c>
      <c r="K14" s="103"/>
      <c r="L14" s="109">
        <f>SUM(F14+H14-J14)</f>
        <v>0</v>
      </c>
      <c r="M14" s="103"/>
      <c r="N14" s="107">
        <f>IF('LS-Fund 0317 Journal Entries'!$F$8="Proprietary - Internal Service Fund",'LS-Fund 0317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0317 Journal Entries'!$F$8="Proprietary - Enterprise Fund",'LS-Fund 0317 Journal Entries'!$K$23,0)</f>
        <v>0</v>
      </c>
      <c r="G18" s="103"/>
      <c r="H18" s="107">
        <f>IF('LS-Fund 0317 Journal Entries'!$F$8="Proprietary - Enterprise Fund",SUM('LS-Fund 0317 Journal Entries'!$K$48,'LS-Fund 0317 Journal Entries'!K113),0)</f>
        <v>0</v>
      </c>
      <c r="I18" s="103"/>
      <c r="J18" s="107">
        <f>IF('LS-Fund 0317 Journal Entries'!$F$8="Proprietary - Enterprise Fund",SUM('LS-Fund 0317 Journal Entries'!$J$68,'LS-Fund 0317 Journal Entries'!J96),0)</f>
        <v>0</v>
      </c>
      <c r="K18" s="103"/>
      <c r="L18" s="109">
        <f>SUM(F18+H18-J18)</f>
        <v>0</v>
      </c>
      <c r="M18" s="103"/>
      <c r="N18" s="107">
        <f>IF('LS-Fund 0317 Journal Entries'!$F$8="Proprietary - Enterprise Fund",'LS-Fund 0317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F16" sqref="F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0317 Journal Entries'!$F$8="Governmental Fund",'LS-Fund 0317 Journal Entries'!$K$23,0)</f>
        <v>13507074</v>
      </c>
      <c r="C16" s="168" t="s">
        <v>155</v>
      </c>
      <c r="D16" s="130">
        <f>IF('LS-Fund 0317 Journal Entries'!$F$8="Governmental Fund",'LS-Fund 0317 Journal Entries'!$K$48,0)</f>
        <v>0</v>
      </c>
      <c r="E16" s="170" t="s">
        <v>156</v>
      </c>
      <c r="F16" s="130">
        <f>IF('LS-Fund 0317 Journal Entries'!$F$8="Governmental Fund",'LS-Fund 0317 Journal Entries'!$J$68,0)</f>
        <v>2476660</v>
      </c>
      <c r="G16" s="169" t="s">
        <v>156</v>
      </c>
      <c r="H16" s="130">
        <f>IF('LS-Fund 0317 Journal Entries'!$F$8="Governmental Fund",'LS-Fund 0317 Journal Entries'!$J$96,0)</f>
        <v>0</v>
      </c>
      <c r="I16" s="169" t="s">
        <v>155</v>
      </c>
      <c r="J16" s="130">
        <f>IF('LS-Fund 0317 Journal Entries'!$F$8="Governmental Fund",'LS-Fund 0317 Journal Entries'!$K$113,0)</f>
        <v>0</v>
      </c>
      <c r="K16" s="170" t="s">
        <v>159</v>
      </c>
      <c r="L16" s="133">
        <f>+B16+D16-F16-H16+J16</f>
        <v>11030414</v>
      </c>
      <c r="M16" s="132"/>
      <c r="N16" s="134">
        <f>SUM('LS-Department Note Disclosure'!B13:B36)</f>
        <v>11030414</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0317 Journal Entries'!$F$8="Proprietary - Internal Service Fund",'LS-Fund 0317 Journal Entries'!$K$23,0)</f>
        <v>0</v>
      </c>
      <c r="C24" s="168" t="s">
        <v>155</v>
      </c>
      <c r="D24" s="130">
        <f>IF('LS-Fund 0317 Journal Entries'!$F$8="Proprietary - Internal Service Fund",'LS-Fund 0317 Journal Entries'!$K$48,0)</f>
        <v>0</v>
      </c>
      <c r="E24" s="170" t="s">
        <v>156</v>
      </c>
      <c r="F24" s="130">
        <f>IF('LS-Fund 0317 Journal Entries'!$F$8="Proprietary - Internal Service Fund",'LS-Fund 0317 Journal Entries'!$J$68,0)</f>
        <v>0</v>
      </c>
      <c r="G24" s="169" t="s">
        <v>156</v>
      </c>
      <c r="H24" s="130">
        <f>IF('LS-Fund 0317 Journal Entries'!$F$8="Proprietary - Internal Service Fund",'LS-Fund 0317 Journal Entries'!$J$96,0)</f>
        <v>0</v>
      </c>
      <c r="I24" s="169" t="s">
        <v>155</v>
      </c>
      <c r="J24" s="130">
        <f>IF('LS-Fund 0317 Journal Entries'!$F$8="Proprietary - Internal Service Fund",'LS-Fund 0317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0317 Journal Entries'!$F$8="Proprietary - Enterprise Fund",'LS-Fund 0317 Journal Entries'!$K$23,0)</f>
        <v>0</v>
      </c>
      <c r="C33" s="168" t="s">
        <v>155</v>
      </c>
      <c r="D33" s="130">
        <f>IF('LS-Fund 0317 Journal Entries'!$F$8="Proprietary - Enterprise Fund",'LS-Fund 0317 Journal Entries'!$K$48,0)</f>
        <v>0</v>
      </c>
      <c r="E33" s="170" t="s">
        <v>156</v>
      </c>
      <c r="F33" s="130">
        <f>IF('LS-Fund 0317 Journal Entries'!$F$8="Proprietary - Enterprise Fund",'LS-Fund 0317 Journal Entries'!$J$68,0)</f>
        <v>0</v>
      </c>
      <c r="G33" s="169" t="s">
        <v>156</v>
      </c>
      <c r="H33" s="130">
        <f>IF('LS-Fund 0317 Journal Entries'!$F$8="Proprietary - Enterprise Fund",'LS-Fund 0317 Journal Entries'!$J$96,0)</f>
        <v>0</v>
      </c>
      <c r="I33" s="169" t="s">
        <v>155</v>
      </c>
      <c r="J33" s="130">
        <f>IF('LS-Fund 0317 Journal Entries'!$F$8="Proprietary - Enterprise Fund",'LS-Fund 0317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0317 Journal Entries'!$F$8="Governmental Fund",'LS-Fund 0317 Journal Entries'!$K$76,0)</f>
        <v>2536401</v>
      </c>
      <c r="C42" s="138"/>
      <c r="E42" s="138"/>
      <c r="G42" s="167"/>
      <c r="H42" s="167"/>
      <c r="I42" s="167"/>
      <c r="J42" s="167"/>
      <c r="K42" s="138"/>
      <c r="L42" s="138"/>
      <c r="M42" s="139"/>
      <c r="N42" s="134">
        <f>'LS-Department Note Disclosure'!B13</f>
        <v>2536401</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0317 Journal Entries'!$F$8="Proprietary - Internal Service Fund",'LS-Fund 0317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0317 Journal Entries'!$F$8="Proprietary - Enterprise Fund",'LS-Fund 0317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13507074</v>
      </c>
      <c r="J66" s="143">
        <f>SUM(D66)</f>
        <v>13507074</v>
      </c>
      <c r="L66" s="144" t="str">
        <f>CONCATENATE("Balance July 1, ",LEFT('LS-Department Note Disclosure'!$B$8,4))</f>
        <v>Balance July 1, 2023</v>
      </c>
      <c r="N66" s="143">
        <f>'LS-Lease Liabilities'!F10</f>
        <v>13507074</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2476660</v>
      </c>
      <c r="E68" s="171" t="s">
        <v>155</v>
      </c>
      <c r="F68" s="125" t="s">
        <v>1750</v>
      </c>
      <c r="H68" s="143">
        <f>$H$16</f>
        <v>0</v>
      </c>
      <c r="J68" s="143">
        <f>SUM(D68,H68)</f>
        <v>2476660</v>
      </c>
      <c r="L68" s="144" t="s">
        <v>15</v>
      </c>
      <c r="N68" s="143">
        <f>'LS-Lease Liabilities'!J10</f>
        <v>2476660</v>
      </c>
      <c r="P68" s="135">
        <f t="shared" si="0"/>
        <v>0</v>
      </c>
    </row>
    <row r="69" spans="1:17" x14ac:dyDescent="0.25">
      <c r="B69" s="125" t="s">
        <v>165</v>
      </c>
      <c r="D69" s="143">
        <f>$B$42</f>
        <v>2536401</v>
      </c>
      <c r="J69" s="143">
        <f>SUM(D69)</f>
        <v>2536401</v>
      </c>
      <c r="L69" s="144" t="s">
        <v>16</v>
      </c>
      <c r="N69" s="143">
        <f>'LS-Lease Liabilities'!N10</f>
        <v>2536401</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3" t="s">
        <v>1666</v>
      </c>
      <c r="B1" s="263"/>
      <c r="C1" s="263"/>
      <c r="D1" s="263"/>
      <c r="E1" s="263"/>
      <c r="F1" s="263"/>
      <c r="G1" s="263"/>
      <c r="H1" s="263"/>
      <c r="I1" s="263"/>
      <c r="J1" s="263"/>
      <c r="K1" s="263"/>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0" t="s">
        <v>1671</v>
      </c>
      <c r="N13" s="261"/>
      <c r="O13" s="188"/>
      <c r="P13" s="260" t="s">
        <v>1667</v>
      </c>
      <c r="Q13" s="261"/>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G25" sqref="G25"/>
      <selection pane="bottomLeft" activeCell="G25" sqref="G2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G25" sqref="G25"/>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3" t="s">
        <v>1665</v>
      </c>
      <c r="B1" s="263"/>
      <c r="C1" s="263"/>
      <c r="D1" s="263"/>
      <c r="E1" s="263"/>
      <c r="F1" s="263"/>
      <c r="G1" s="263"/>
      <c r="H1" s="263"/>
      <c r="I1" s="263"/>
      <c r="J1" s="263"/>
      <c r="K1" s="263"/>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4" t="s">
        <v>12</v>
      </c>
      <c r="B3" s="264"/>
      <c r="C3" s="264"/>
      <c r="D3" s="264"/>
      <c r="E3" s="264"/>
      <c r="F3" s="265" t="s">
        <v>24</v>
      </c>
      <c r="G3" s="265"/>
      <c r="H3" s="265"/>
      <c r="I3" s="265"/>
    </row>
    <row r="4" spans="1:20" ht="15.75" x14ac:dyDescent="0.2">
      <c r="A4" s="264" t="s">
        <v>208</v>
      </c>
      <c r="B4" s="264"/>
      <c r="C4" s="264"/>
      <c r="D4" s="264"/>
      <c r="E4" s="264"/>
      <c r="F4" s="266"/>
      <c r="G4" s="266"/>
      <c r="H4" s="266"/>
      <c r="I4" s="266"/>
      <c r="L4" s="39"/>
      <c r="M4" s="39"/>
      <c r="N4" s="39"/>
      <c r="O4" s="39"/>
      <c r="P4" s="39"/>
      <c r="Q4" s="39"/>
    </row>
    <row r="5" spans="1:20" ht="15.75" x14ac:dyDescent="0.2">
      <c r="A5" s="264" t="s">
        <v>1639</v>
      </c>
      <c r="B5" s="264"/>
      <c r="C5" s="264"/>
      <c r="D5" s="264"/>
      <c r="E5" s="264"/>
      <c r="F5" s="266"/>
      <c r="G5" s="266"/>
      <c r="H5" s="266"/>
      <c r="I5" s="266"/>
      <c r="L5" s="40"/>
      <c r="M5" s="40"/>
      <c r="N5" s="40"/>
      <c r="O5" s="40"/>
      <c r="P5" s="39"/>
      <c r="Q5" s="39"/>
    </row>
    <row r="6" spans="1:20" ht="18" x14ac:dyDescent="0.25">
      <c r="A6" s="264" t="s">
        <v>2</v>
      </c>
      <c r="B6" s="264"/>
      <c r="C6" s="264"/>
      <c r="D6" s="264"/>
      <c r="E6" s="264"/>
      <c r="F6" s="267"/>
      <c r="G6" s="267"/>
      <c r="H6" s="267"/>
      <c r="I6" s="267"/>
      <c r="K6" s="96"/>
      <c r="L6" s="40"/>
      <c r="M6" s="40"/>
      <c r="N6" s="40"/>
      <c r="O6" s="40"/>
      <c r="P6" s="39"/>
      <c r="Q6" s="39"/>
    </row>
    <row r="7" spans="1:20" ht="18" x14ac:dyDescent="0.25">
      <c r="A7" s="264" t="s">
        <v>3</v>
      </c>
      <c r="B7" s="264"/>
      <c r="C7" s="264"/>
      <c r="D7" s="264"/>
      <c r="E7" s="264"/>
      <c r="F7" s="267"/>
      <c r="G7" s="267"/>
      <c r="H7" s="267"/>
      <c r="I7" s="267"/>
      <c r="K7" s="96"/>
      <c r="L7" s="40"/>
      <c r="M7" s="40"/>
      <c r="N7" s="40"/>
      <c r="O7" s="40"/>
      <c r="P7" s="39"/>
      <c r="Q7" s="39"/>
    </row>
    <row r="8" spans="1:20" ht="18" x14ac:dyDescent="0.25">
      <c r="A8" s="264" t="s">
        <v>1640</v>
      </c>
      <c r="B8" s="264"/>
      <c r="C8" s="264"/>
      <c r="D8" s="264"/>
      <c r="E8" s="264"/>
      <c r="F8" s="267"/>
      <c r="G8" s="267"/>
      <c r="H8" s="267"/>
      <c r="I8" s="267"/>
      <c r="K8" s="96"/>
      <c r="L8" s="40"/>
      <c r="M8" s="40"/>
      <c r="N8" s="40"/>
      <c r="O8" s="40"/>
      <c r="P8" s="39"/>
      <c r="Q8" s="39"/>
    </row>
    <row r="9" spans="1:20" ht="15.75" x14ac:dyDescent="0.25">
      <c r="A9" s="264" t="s">
        <v>1638</v>
      </c>
      <c r="B9" s="264"/>
      <c r="C9" s="264"/>
      <c r="D9" s="264"/>
      <c r="E9" s="264"/>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0" t="s">
        <v>1670</v>
      </c>
      <c r="N14" s="261"/>
      <c r="P14" s="260" t="s">
        <v>1667</v>
      </c>
      <c r="Q14" s="261"/>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G25" sqref="G25"/>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0317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0317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Au, Jared</cp:lastModifiedBy>
  <cp:lastPrinted>2024-09-14T00:58:00Z</cp:lastPrinted>
  <dcterms:created xsi:type="dcterms:W3CDTF">2023-03-08T17:19:33Z</dcterms:created>
  <dcterms:modified xsi:type="dcterms:W3CDTF">2024-12-23T23:10:42Z</dcterms:modified>
</cp:coreProperties>
</file>