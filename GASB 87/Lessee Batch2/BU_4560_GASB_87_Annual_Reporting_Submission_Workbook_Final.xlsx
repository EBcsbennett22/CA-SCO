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4560 MENTAL HEALTH SERVICES OVERSIGHT\"/>
    </mc:Choice>
  </mc:AlternateContent>
  <xr:revisionPtr revIDLastSave="0" documentId="13_ncr:1_{0A24046C-BDCF-4C0F-A84E-BD9492A9B35B}"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3085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3085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<sst xmlns="http://schemas.openxmlformats.org/spreadsheetml/2006/main" count="8068" uniqueCount="1804">
  <si>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</si>
  <si>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</si>
  <si>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</si>
  <si>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</si>
  <si>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</si>
  <si>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</si>
  <si>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</si>
  <si>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</si>
  <si>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</si>
  <si>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</si>
  <si>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</si>
  <si>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</si>
  <si>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</si>
  <si>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</si>
  <si>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</si>
  <si>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</si>
  <si>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</si>
  <si>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</si>
  <si>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</si>
  <si>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</si>
  <si>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</si>
  <si>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</si>
  <si>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</si>
  <si>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</si>
  <si>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</si>
  <si>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</si>
  <si>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</si>
  <si>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</si>
  <si>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</si>
  <si>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</si>
  <si>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</si>
  <si>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</si>
  <si>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</si>
  <si>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</si>
  <si>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</si>
  <si>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</si>
  <si>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</si>
  <si>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</si>
  <si>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</si>
  <si>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</si>
  <si>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</si>
  <si>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</si>
  <si>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</si>
  <si>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</si>
  <si>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</si>
  <si>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</si>
  <si>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</si>
  <si>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</si>
  <si>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</si>
  <si>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</si>
  <si>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</si>
  <si>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</si>
  <si>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</si>
  <si>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</si>
  <si>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</si>
  <si>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</si>
  <si>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</si>
  <si>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</si>
  <si>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</si>
  <si>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</si>
  <si>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</si>
  <si>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</si>
  <si>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</si>
  <si>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</si>
  <si>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</si>
  <si>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</si>
  <si>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</si>
  <si>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</si>
  <si>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</si>
  <si>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</si>
  <si>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</si>
  <si>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</si>
  <si>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</si>
  <si>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</si>
  <si>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</si>
  <si>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</si>
  <si>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</si>
  <si>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</si>
  <si>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</si>
  <si>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</si>
  <si>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</si>
  <si>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</si>
  <si>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</si>
  <si>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</si>
  <si>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</si>
  <si>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</si>
  <si>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</si>
  <si>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</si>
  <si>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</si>
  <si>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</si>
  <si>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</si>
  <si>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</si>
  <si>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</si>
  <si>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</si>
  <si>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</si>
  <si>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</si>
  <si>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</si>
  <si>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</si>
  <si>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</si>
  <si>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</si>
  <si>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</si>
  <si>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</si>
  <si>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</si>
  <si>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</si>
  <si>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</si>
  <si>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</si>
  <si>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</si>
  <si>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</si>
  <si>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</si>
  <si>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</si>
  <si>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</si>
  <si>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</si>
  <si>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</si>
  <si>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</si>
  <si>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</si>
  <si>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</si>
  <si>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</si>
  <si>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</si>
  <si>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</si>
  <si>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</si>
  <si>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</si>
  <si>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</si>
  <si>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</si>
  <si>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</si>
  <si>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</si>
  <si>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</si>
  <si>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</si>
  <si>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</si>
  <si>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</si>
  <si>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</si>
  <si>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</si>
  <si>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</si>
  <si>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</si>
  <si>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</si>
  <si>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</si>
  <si>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</si>
  <si>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</si>
  <si>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</si>
  <si>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</si>
  <si>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</si>
  <si>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</si>
  <si>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</si>
  <si>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</si>
  <si>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</si>
  <si>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</si>
  <si>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</si>
  <si>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</si>
  <si>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</si>
  <si>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</si>
  <si>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</si>
  <si>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</si>
  <si>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</si>
  <si>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</si>
  <si>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</si>
  <si>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</si>
  <si>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</si>
  <si>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</si>
  <si>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</si>
  <si>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</si>
  <si>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</si>
  <si>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</si>
  <si>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</si>
  <si>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</si>
  <si>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</si>
  <si>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</si>
  <si>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</si>
  <si>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</si>
  <si>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</si>
  <si>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</si>
  <si>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</si>
  <si>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</si>
  <si>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</si>
  <si>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</si>
  <si>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</si>
  <si>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</si>
  <si>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</si>
  <si>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</si>
  <si>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</si>
  <si>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</si>
  <si>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</si>
  <si>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</si>
  <si>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</si>
  <si>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</si>
  <si>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</si>
  <si>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</si>
  <si>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</si>
  <si>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</si>
  <si>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</si>
  <si>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</si>
  <si>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</si>
  <si>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</si>
  <si>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</si>
  <si>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</si>
  <si>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</si>
  <si>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</si>
  <si>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</si>
  <si>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</si>
  <si>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</si>
  <si>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</si>
  <si>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</si>
  <si>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</si>
  <si>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</si>
  <si>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</si>
  <si>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</si>
  <si>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</si>
  <si>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</si>
  <si>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</si>
  <si>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</si>
  <si>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</si>
  <si>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</si>
  <si>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</si>
  <si>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</si>
  <si>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</si>
  <si>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</si>
  <si>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</si>
  <si>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</si>
  <si>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</si>
  <si>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</si>
  <si>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</si>
  <si>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</si>
  <si>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</si>
  <si>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</si>
  <si>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</si>
  <si>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</si>
  <si>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</si>
  <si>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</si>
  <si>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</si>
  <si>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</si>
  <si>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</si>
  <si>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</si>
  <si>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</si>
  <si>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</si>
  <si>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</si>
  <si>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</si>
  <si>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</si>
  <si>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</si>
  <si>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</si>
  <si>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</si>
  <si>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</si>
  <si>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</si>
  <si>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</si>
  <si>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</si>
  <si>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</si>
  <si>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</si>
  <si>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</si>
  <si>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</si>
  <si>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</si>
  <si>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</si>
  <si>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</si>
  <si>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</si>
  <si>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</si>
  <si>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</si>
  <si>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</si>
  <si>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</si>
  <si>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</si>
  <si>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</si>
  <si>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</si>
  <si>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</si>
  <si>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</si>
  <si>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</si>
  <si>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</si>
  <si>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</si>
  <si>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</si>
  <si>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</si>
  <si>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</si>
  <si>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</si>
  <si>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</si>
  <si>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</si>
  <si>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</si>
  <si>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</si>
  <si>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</si>
  <si>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</si>
  <si>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</si>
  <si>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</si>
  <si>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</si>
  <si>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</si>
  <si>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</si>
  <si>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</si>
  <si>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</si>
  <si>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</si>
  <si>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</si>
  <si>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</si>
  <si>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</si>
  <si>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</si>
  <si>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</si>
  <si>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</si>
  <si>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</si>
  <si>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</si>
  <si>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</si>
  <si>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</si>
  <si>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</si>
  <si>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</si>
  <si>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</si>
  <si>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</si>
  <si>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</si>
  <si>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</si>
  <si>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</si>
  <si>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</si>
  <si>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</si>
  <si>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</si>
  <si>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</si>
  <si>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</si>
  <si>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</si>
  <si>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</si>
  <si>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</si>
  <si>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</si>
  <si>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</si>
  <si>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</si>
  <si>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</si>
  <si>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</si>
  <si>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</si>
  <si>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</si>
  <si>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</si>
  <si>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</si>
  <si>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</si>
  <si>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</si>
  <si>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</si>
  <si>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</si>
  <si>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</si>
  <si>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</si>
  <si>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</si>
  <si>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</si>
  <si>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</si>
  <si>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</si>
  <si>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</si>
  <si>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</si>
  <si>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</si>
  <si>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</si>
  <si>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</si>
  <si>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</si>
  <si>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</si>
  <si>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</si>
  <si>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</si>
  <si>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</si>
  <si>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</si>
  <si>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</si>
  <si>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</si>
  <si>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</si>
  <si>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</si>
  <si>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</si>
  <si>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</si>
  <si>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</si>
  <si>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</si>
  <si>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</si>
  <si>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</si>
  <si>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</si>
  <si>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</si>
  <si>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</si>
  <si>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</si>
  <si>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</si>
  <si>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</si>
  <si>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</si>
  <si>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</si>
  <si>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</si>
  <si>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</si>
  <si>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</si>
  <si>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</si>
  <si>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</si>
  <si>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</si>
  <si>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</si>
  <si>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</si>
  <si>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</si>
  <si>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</si>
  <si>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</si>
  <si>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</si>
  <si>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</si>
  <si>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</si>
  <si>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</si>
  <si>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</si>
  <si>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</si>
  <si>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</si>
  <si>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</si>
  <si>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</si>
  <si>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</si>
  <si>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</si>
  <si>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</si>
  <si>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</si>
  <si>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</si>
  <si>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</si>
  <si>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</si>
  <si>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</si>
  <si>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</si>
  <si>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</si>
  <si>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</si>
  <si>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</si>
  <si>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</si>
  <si>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</si>
  <si>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</si>
  <si>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</si>
  <si>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</si>
  <si>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</si>
  <si>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</si>
  <si>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</si>
  <si>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</si>
  <si>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</si>
  <si>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</si>
  <si>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</si>
  <si>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</si>
  <si>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</si>
  <si>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</si>
  <si>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</si>
  <si>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</si>
  <si>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</si>
  <si>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</si>
  <si>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</si>
  <si>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</si>
  <si>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</si>
  <si>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</si>
  <si>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</si>
  <si>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</si>
  <si>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</si>
  <si>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</si>
  <si>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</si>
  <si>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</si>
  <si>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</si>
  <si>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</si>
  <si>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</si>
  <si>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</si>
  <si>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</si>
  <si>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</si>
  <si>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</si>
  <si>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</si>
  <si>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</si>
  <si>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</si>
  <si>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</si>
  <si>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</si>
  <si>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</si>
  <si>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</si>
  <si>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</si>
  <si>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</si>
  <si>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</si>
  <si>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</si>
  <si>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</si>
  <si>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</si>
  <si>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</si>
  <si>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</si>
  <si>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</si>
  <si>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</si>
  <si>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</si>
  <si>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</si>
  <si>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</si>
  <si>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</si>
  <si>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</si>
  <si>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</si>
  <si>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</si>
  <si>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</si>
  <si>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</si>
  <si>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</si>
  <si>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</si>
  <si>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</si>
  <si>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</si>
  <si>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</si>
  <si>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</si>
  <si>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</si>
  <si>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</si>
  <si>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</si>
  <si>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</si>
  <si>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</si>
  <si>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</si>
  <si>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</si>
  <si>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</si>
  <si>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</si>
  <si>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</si>
  <si>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</si>
  <si>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</si>
  <si>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</si>
  <si>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</si>
  <si>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</si>
  <si>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</si>
  <si>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</si>
  <si>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</si>
  <si>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</si>
  <si>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</si>
  <si>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</si>
  <si>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</si>
  <si>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</si>
  <si>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</si>
  <si>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</si>
  <si>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</si>
  <si>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</si>
  <si>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</si>
  <si>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</si>
  <si>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</si>
  <si>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</si>
  <si>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</si>
  <si>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</si>
  <si>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</si>
  <si>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</si>
  <si>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</si>
  <si>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</si>
  <si>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</si>
  <si>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</si>
  <si>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</si>
  <si>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</si>
  <si>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</si>
  <si>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</si>
  <si>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</si>
  <si>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</si>
  <si>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</si>
  <si>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</si>
  <si>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</si>
  <si>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</si>
  <si>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</si>
  <si>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</si>
  <si>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</si>
  <si>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</si>
  <si>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</si>
  <si>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</si>
  <si>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</si>
  <si>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</si>
  <si>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</si>
  <si>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</si>
  <si>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</si>
  <si>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</si>
  <si>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</si>
  <si>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</si>
  <si>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</si>
  <si>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</si>
  <si>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</si>
  <si>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</si>
  <si>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</si>
  <si>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</si>
  <si>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</si>
  <si>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</si>
  <si>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</si>
  <si>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</si>
  <si>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</si>
  <si>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</si>
  <si>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</si>
  <si>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</si>
  <si>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</si>
  <si>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</si>
  <si>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</si>
  <si>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</si>
  <si>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</si>
  <si>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</si>
  <si>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</si>
  <si>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</si>
  <si>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</si>
  <si>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</si>
  <si>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</si>
  <si>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</si>
  <si>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</si>
  <si>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</si>
  <si>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</si>
  <si>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</si>
  <si>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</si>
  <si>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</si>
  <si>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</si>
  <si>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</si>
  <si>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</si>
  <si>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</si>
  <si>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</si>
  <si>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</si>
  <si>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</si>
  <si>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</si>
  <si>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</si>
  <si>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</si>
  <si>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</si>
  <si>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</si>
  <si>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</si>
  <si>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</si>
  <si>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</si>
  <si>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</si>
  <si>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</si>
  <si>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</si>
  <si>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</si>
  <si>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</si>
  <si>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</si>
  <si>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</si>
  <si>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</si>
  <si>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</si>
  <si>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</si>
  <si>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</si>
  <si>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</si>
  <si>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</si>
  <si>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</si>
  <si>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</si>
  <si>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</si>
  <si>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</si>
  <si>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</si>
  <si>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</si>
  <si>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</si>
  <si>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</si>
  <si>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</si>
  <si>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</si>
  <si>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</si>
  <si>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</si>
  <si>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</si>
  <si>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</si>
  <si>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</si>
  <si>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</si>
  <si>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</si>
  <si>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</si>
  <si>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</si>
  <si>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</si>
  <si>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</si>
  <si>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</si>
  <si>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</si>
  <si>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</si>
  <si>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</si>
  <si>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</si>
  <si>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</si>
  <si>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</si>
  <si>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</si>
  <si>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</si>
  <si>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</si>
  <si>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</si>
  <si>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</si>
  <si>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</si>
  <si>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</si>
  <si>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</si>
  <si>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</si>
  <si>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</si>
  <si>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</si>
  <si>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</si>
  <si>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</si>
  <si>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</si>
  <si>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</si>
  <si>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</si>
  <si>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</si>
  <si>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</si>
  <si>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</si>
  <si>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</si>
  <si>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</si>
  <si>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</si>
  <si>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</si>
  <si>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</si>
  <si>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</si>
  <si>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</si>
  <si>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</si>
  <si>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</si>
  <si>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</si>
  <si>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</si>
  <si>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</si>
  <si>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</si>
  <si>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</si>
  <si>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</si>
  <si>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</si>
  <si>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</si>
  <si>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</si>
  <si>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</si>
  <si>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</si>
  <si>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</si>
  <si>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</si>
  <si>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</si>
  <si>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</si>
  <si>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</si>
  <si>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</si>
  <si>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</si>
  <si>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</si>
  <si>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</si>
  <si>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</si>
  <si>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</si>
  <si>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</si>
  <si>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</si>
  <si>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</si>
  <si>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</si>
  <si>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</si>
  <si>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</si>
  <si>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</si>
  <si>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</si>
  <si>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</si>
  <si>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</si>
  <si>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</si>
  <si>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</si>
  <si>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</si>
  <si>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</si>
  <si>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</si>
  <si>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</si>
  <si>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</si>
  <si>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</si>
  <si>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</si>
  <si>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</si>
  <si>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</si>
  <si>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</si>
  <si>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</si>
  <si>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</si>
  <si>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</si>
  <si>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</si>
  <si>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</si>
  <si>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</si>
  <si>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</si>
  <si>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</si>
  <si>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</si>
  <si>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</si>
  <si>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</si>
  <si>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</si>
  <si>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</si>
  <si>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</si>
  <si>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</si>
  <si>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</si>
  <si>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</si>
  <si>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</si>
  <si>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</si>
  <si>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</si>
  <si>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</si>
  <si>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</si>
  <si>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</si>
  <si>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</si>
  <si>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</si>
  <si>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</si>
  <si>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</si>
  <si>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</si>
  <si>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</si>
  <si>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</si>
  <si>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</si>
  <si>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</si>
  <si>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</si>
  <si>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</si>
  <si>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</si>
  <si>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</si>
  <si>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</si>
  <si>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</si>
  <si>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</si>
  <si>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</si>
  <si>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</si>
  <si>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</si>
  <si>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</si>
  <si>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</si>
  <si>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</si>
  <si>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</si>
  <si>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</si>
  <si>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</si>
  <si>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</si>
  <si>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</si>
  <si>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</si>
  <si>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</si>
  <si>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</si>
  <si>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</si>
  <si>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</si>
  <si>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</si>
  <si>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</si>
  <si>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</si>
  <si>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</si>
  <si>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</si>
  <si>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</si>
  <si>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</si>
  <si>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</si>
  <si>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</si>
  <si>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</si>
  <si>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</si>
  <si>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</si>
  <si>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</si>
  <si>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</si>
  <si>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</si>
  <si>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</si>
  <si>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</si>
  <si>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</si>
  <si>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</si>
  <si>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</si>
  <si>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</si>
  <si>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</si>
  <si>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</si>
  <si>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</si>
  <si>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</si>
  <si>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</si>
  <si>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</si>
  <si>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</si>
  <si>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</si>
  <si>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</si>
  <si>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</si>
  <si>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</si>
  <si>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</si>
  <si>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</si>
  <si>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</si>
  <si>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</si>
  <si>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</si>
  <si>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</si>
  <si>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</si>
  <si>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</si>
  <si>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</si>
  <si>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</si>
  <si>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</si>
  <si>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</si>
  <si>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</si>
  <si>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</si>
  <si>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</si>
  <si>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</si>
  <si>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</si>
  <si>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</si>
  <si>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</si>
  <si>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</si>
  <si>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</si>
  <si>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</si>
  <si>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</si>
  <si>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</si>
  <si>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</si>
  <si>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</si>
  <si>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</si>
  <si>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</si>
  <si>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</si>
  <si>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</si>
  <si>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</si>
  <si>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</si>
  <si>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</si>
  <si>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</si>
  <si>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</si>
  <si>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</si>
  <si>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</si>
  <si>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</si>
  <si>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</si>
  <si>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</si>
  <si>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</si>
  <si>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</si>
  <si>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</si>
  <si>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</si>
  <si>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</si>
  <si>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</si>
  <si>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</si>
  <si>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</si>
  <si>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</si>
  <si>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</si>
  <si>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</si>
  <si>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</si>
  <si>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</si>
  <si>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</si>
  <si>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</si>
  <si>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</si>
  <si>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</si>
  <si>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</si>
  <si>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</si>
  <si>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</si>
  <si>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</si>
  <si>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</si>
  <si>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</si>
  <si>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</si>
  <si>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</si>
  <si>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</si>
  <si>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</si>
  <si>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</si>
  <si>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</si>
  <si>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</si>
  <si>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</si>
  <si>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</si>
  <si>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</si>
  <si>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</si>
  <si>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</si>
  <si>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</si>
  <si>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</si>
  <si>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</si>
  <si>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</si>
  <si>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</si>
  <si>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</si>
  <si>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</si>
  <si>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</si>
  <si>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</si>
  <si>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</si>
  <si>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</si>
  <si>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</si>
  <si>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</si>
  <si>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</si>
  <si>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</si>
  <si>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</si>
  <si>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</si>
  <si>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</si>
  <si>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</si>
  <si>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</si>
  <si>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</si>
  <si>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</si>
  <si>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</si>
  <si>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</si>
  <si>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</si>
  <si>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</si>
  <si>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</si>
  <si>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</si>
  <si>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</si>
  <si>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</si>
  <si>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</si>
  <si>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</si>
  <si>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</si>
  <si>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</si>
  <si>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</si>
  <si>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</si>
  <si>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</si>
  <si>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</si>
  <si>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</si>
  <si>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</si>
  <si>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</si>
  <si>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</si>
  <si>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</si>
  <si>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</si>
  <si>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</si>
  <si>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</si>
  <si>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</si>
  <si>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</si>
  <si>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</si>
  <si>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</si>
  <si>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</si>
  <si>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</si>
  <si>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</si>
  <si>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</si>
  <si>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</si>
  <si>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</si>
  <si>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</si>
  <si>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</si>
  <si>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</si>
  <si>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</si>
  <si>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</si>
  <si>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</si>
  <si>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</si>
  <si>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</si>
  <si>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</si>
  <si>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</si>
  <si>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</si>
  <si>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</si>
  <si>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</si>
  <si>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</si>
  <si>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</si>
  <si>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</si>
  <si>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</si>
  <si>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</si>
  <si>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</si>
  <si>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</si>
  <si>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</si>
  <si>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</si>
  <si>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</si>
  <si>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</si>
  <si>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</si>
  <si>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</si>
  <si>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</si>
  <si>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</si>
  <si>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</si>
  <si>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</si>
  <si>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</si>
  <si>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</si>
  <si>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</si>
  <si>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</si>
  <si>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</si>
  <si>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</si>
  <si>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</si>
  <si>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</si>
  <si>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</si>
  <si>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</si>
  <si>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</si>
  <si>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</si>
  <si>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</si>
  <si>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</si>
  <si>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</si>
  <si>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</si>
  <si>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</si>
  <si>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</si>
  <si>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</si>
  <si>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</si>
  <si>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</si>
  <si>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</si>
  <si>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</si>
  <si>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</si>
  <si>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</si>
  <si>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</si>
  <si>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</si>
  <si>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</si>
  <si>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</si>
  <si>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</si>
  <si>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</si>
  <si>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</si>
  <si>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</si>
  <si>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</si>
  <si>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</si>
  <si>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</si>
  <si>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</si>
  <si>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</si>
  <si>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</si>
  <si>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</si>
  <si>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</si>
  <si>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</si>
  <si>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</si>
  <si>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</si>
  <si>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</si>
  <si>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</si>
  <si>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</si>
  <si>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</si>
  <si>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</si>
  <si>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</si>
  <si>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</si>
  <si>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</si>
  <si>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</si>
  <si>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</si>
  <si>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</si>
  <si>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</si>
  <si>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</si>
  <si>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</si>
  <si>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</si>
  <si>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</si>
  <si>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</si>
  <si>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</si>
  <si>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</si>
  <si>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</si>
  <si>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</si>
  <si>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</si>
  <si>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</si>
  <si>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</si>
  <si>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</si>
  <si>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</si>
  <si>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</si>
  <si>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</si>
  <si>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</si>
  <si>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</si>
  <si>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</si>
  <si>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</si>
  <si>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</si>
  <si>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</si>
  <si>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</si>
  <si>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</si>
  <si>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</si>
  <si>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</si>
  <si>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</si>
  <si>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</si>
  <si>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</si>
  <si>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</si>
  <si>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</si>
  <si>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</si>
  <si>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</si>
  <si>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</si>
  <si>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</si>
  <si>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</si>
  <si>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</si>
  <si>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</si>
  <si>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</si>
  <si>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</si>
  <si>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</si>
  <si>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</si>
  <si>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</si>
  <si>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</si>
  <si>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</si>
  <si>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</si>
  <si>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</si>
  <si>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</si>
  <si>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</si>
  <si>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</si>
  <si>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</si>
  <si>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</si>
  <si>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</si>
  <si>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</si>
  <si>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</si>
  <si>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</si>
  <si>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</si>
  <si>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</si>
  <si>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</si>
  <si>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</si>
  <si>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</si>
  <si>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</si>
  <si>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</si>
  <si>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</si>
  <si>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</si>
  <si>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</si>
  <si>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</si>
  <si>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</si>
  <si>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</si>
  <si>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</si>
  <si>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</si>
  <si>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</si>
  <si>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</si>
  <si>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</si>
  <si>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</si>
  <si>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</si>
  <si>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</si>
  <si>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</si>
  <si>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</si>
  <si>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</si>
  <si>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</si>
  <si>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</si>
  <si>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</si>
  <si>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</si>
  <si>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</si>
  <si>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</si>
  <si>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</si>
  <si>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</si>
  <si>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</si>
  <si>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</si>
  <si>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</si>
  <si>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</si>
  <si>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</si>
  <si>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</si>
  <si>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</si>
  <si>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</si>
  <si>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</si>
  <si>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</si>
  <si>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</si>
  <si>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</si>
  <si>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</si>
  <si>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</si>
  <si>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</si>
  <si>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</si>
  <si>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</si>
  <si>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</si>
  <si>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</si>
  <si>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</si>
  <si>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</si>
  <si>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</si>
  <si>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</si>
  <si>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</si>
  <si>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</si>
  <si>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</si>
  <si>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</si>
  <si>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</si>
  <si>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</si>
  <si>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</si>
  <si>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</si>
  <si>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</si>
  <si>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</si>
  <si>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</si>
  <si>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</si>
  <si>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</si>
  <si>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</si>
  <si>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</si>
  <si>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</si>
  <si>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</si>
  <si>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</si>
  <si>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</si>
  <si>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</si>
  <si>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</si>
  <si>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</si>
  <si>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</si>
  <si>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</si>
  <si>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</si>
  <si>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</si>
  <si>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</si>
  <si>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</si>
  <si>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</si>
  <si>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</si>
  <si>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</si>
  <si>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</si>
  <si>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</si>
  <si>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</si>
  <si>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</si>
  <si>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</si>
  <si>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</si>
  <si>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</si>
  <si>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</si>
  <si>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</si>
  <si>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</si>
  <si>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</si>
  <si>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</si>
  <si>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</si>
  <si>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</si>
  <si>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</si>
  <si>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</si>
  <si>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</si>
  <si>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</si>
  <si>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</si>
  <si>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</si>
  <si>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</si>
  <si>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</si>
  <si>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</si>
  <si>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</si>
  <si>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</si>
  <si>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</si>
  <si>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</si>
  <si>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</si>
  <si>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</si>
  <si>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</si>
  <si>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</si>
  <si>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</si>
  <si>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</si>
  <si>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</si>
  <si>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</si>
  <si>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</si>
  <si>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</si>
  <si>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</si>
  <si>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</si>
  <si>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</si>
  <si>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</si>
  <si>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</si>
  <si>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</si>
  <si>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</si>
  <si>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</si>
  <si>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</si>
  <si>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</si>
  <si>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</si>
  <si>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</si>
  <si>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</si>
  <si>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</si>
  <si>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</si>
  <si>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</si>
  <si>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</si>
  <si>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</si>
  <si>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</si>
  <si>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</si>
  <si>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</si>
  <si>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</si>
  <si>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</si>
  <si>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</si>
  <si>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</si>
  <si>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</si>
  <si>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</si>
  <si>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</si>
  <si>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</si>
  <si>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</si>
  <si>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</si>
  <si>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</si>
  <si>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</si>
  <si>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</si>
  <si>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</si>
  <si>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</si>
  <si>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</si>
  <si>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</si>
  <si>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</si>
  <si>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</si>
  <si>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</si>
  <si>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</si>
  <si>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</si>
  <si>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</si>
  <si>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</si>
  <si>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</si>
  <si>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</si>
  <si>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</si>
  <si>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</si>
  <si>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</si>
  <si>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</si>
  <si>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</si>
  <si>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</si>
  <si>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</si>
  <si>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</si>
  <si>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</si>
  <si>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</si>
  <si>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</si>
  <si>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</si>
  <si>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</si>
  <si>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</si>
  <si>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</si>
  <si>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</si>
  <si>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</si>
  <si>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</si>
  <si>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</si>
  <si>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</si>
  <si>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</si>
  <si>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</si>
  <si>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</si>
  <si>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</si>
  <si>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</si>
  <si>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</si>
  <si>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</si>
  <si>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</si>
  <si>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</si>
  <si>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</si>
  <si>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</si>
  <si>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</si>
  <si>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</si>
  <si>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</si>
  <si>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</si>
  <si>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</si>
  <si>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</si>
  <si>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</si>
  <si>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</si>
  <si>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</si>
  <si>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</si>
  <si>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</si>
  <si>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</si>
  <si>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</si>
  <si>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</si>
  <si>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</si>
  <si>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</si>
  <si>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</si>
  <si>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</si>
  <si>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</si>
  <si>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</si>
  <si>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</si>
  <si>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</si>
  <si>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</si>
  <si>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</si>
  <si>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</si>
  <si>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</si>
  <si>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</si>
  <si>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</si>
  <si>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</si>
  <si>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</si>
  <si>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</si>
  <si>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</si>
  <si>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</si>
  <si>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</si>
  <si>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</si>
  <si>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</si>
  <si>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</si>
  <si>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</si>
  <si>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</si>
  <si>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</si>
  <si>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</si>
  <si>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</si>
  <si>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</si>
  <si>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</si>
  <si>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</si>
  <si>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</si>
  <si>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</si>
  <si>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</si>
  <si>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</si>
  <si>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</si>
  <si>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</si>
  <si>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</si>
  <si>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</si>
  <si>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</si>
  <si>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</si>
  <si>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</si>
  <si>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</si>
  <si>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</si>
  <si>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</si>
  <si>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</si>
  <si>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</si>
  <si>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</si>
  <si>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</si>
  <si>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</si>
  <si>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</si>
  <si>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</si>
  <si>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</si>
  <si>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</si>
  <si>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</si>
  <si>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</si>
  <si>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</si>
  <si>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</si>
  <si>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</si>
  <si>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</si>
  <si>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</si>
  <si>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</si>
  <si>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</si>
  <si>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</si>
  <si>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</si>
  <si>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</si>
  <si>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</si>
  <si>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</si>
  <si>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</si>
  <si>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</si>
  <si>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</si>
  <si>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</si>
  <si>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</si>
  <si>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</si>
  <si>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</si>
  <si>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</si>
  <si>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</si>
  <si>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</si>
  <si>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</si>
  <si>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</si>
  <si>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</si>
  <si>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</si>
  <si>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</si>
  <si>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</si>
  <si>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</si>
  <si>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</si>
  <si>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</si>
  <si>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</si>
  <si>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</si>
  <si>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</si>
  <si>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</si>
  <si>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</si>
  <si>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</si>
  <si>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</si>
  <si>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</si>
  <si>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</si>
  <si>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</si>
  <si>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</si>
  <si>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</si>
  <si>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</si>
  <si>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</si>
  <si>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</si>
  <si>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</si>
  <si>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</si>
  <si>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</si>
  <si>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</si>
  <si>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</si>
  <si>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</si>
  <si>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</si>
  <si>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</si>
  <si>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</si>
  <si>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</si>
  <si>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</si>
  <si>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</si>
  <si>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</si>
  <si>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</si>
  <si>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</si>
  <si>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</si>
  <si>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</si>
  <si>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</si>
  <si>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</si>
  <si>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</si>
  <si>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</si>
  <si>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</si>
  <si>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</si>
  <si>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</si>
  <si>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</si>
  <si>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</si>
  <si>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</si>
  <si>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</si>
  <si>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</si>
  <si>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</si>
  <si>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</si>
  <si>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</si>
  <si>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</si>
  <si>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</si>
  <si>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</si>
  <si>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</si>
  <si>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</si>
  <si>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</si>
  <si>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</si>
  <si>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</si>
  <si>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</si>
  <si>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</si>
  <si>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</si>
  <si>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</si>
  <si>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</si>
  <si>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</si>
  <si>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</si>
  <si>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</si>
  <si>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</si>
  <si>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</si>
  <si>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</si>
  <si>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</si>
  <si>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</si>
  <si>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</si>
  <si>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</si>
  <si>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</si>
  <si>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</si>
  <si>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</si>
  <si>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</si>
  <si>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</si>
  <si>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</si>
  <si>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</si>
  <si>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</si>
  <si>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</si>
  <si>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</si>
  <si>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</si>
  <si>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</si>
  <si>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</si>
  <si>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</si>
  <si>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</si>
  <si>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</si>
  <si>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</si>
  <si>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</si>
  <si>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</si>
  <si>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</si>
  <si>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</si>
  <si>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</si>
  <si>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</si>
  <si>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</si>
  <si>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</si>
  <si>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</si>
  <si>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</si>
  <si>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</si>
  <si>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</si>
  <si>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</si>
  <si>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</si>
  <si>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</si>
  <si>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</si>
  <si>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</si>
  <si>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</si>
  <si>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</si>
  <si>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</si>
  <si>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</si>
  <si>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</si>
  <si>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</si>
  <si>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</si>
  <si>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</si>
  <si>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</si>
  <si>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</si>
  <si>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</si>
  <si>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</si>
  <si>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</si>
  <si>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</si>
  <si>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</si>
  <si>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</si>
  <si>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</si>
  <si>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</si>
  <si>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</si>
  <si>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</si>
  <si>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</si>
  <si>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</si>
  <si>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</si>
  <si>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</si>
  <si>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</si>
  <si>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</si>
  <si>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</si>
  <si>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</si>
  <si>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</si>
  <si>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</si>
  <si>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</si>
  <si>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</si>
  <si>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</si>
  <si>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</si>
  <si>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</si>
  <si>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</si>
  <si>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</si>
  <si>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</si>
  <si>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</si>
  <si>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</si>
  <si>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</si>
  <si>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</si>
  <si>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</si>
  <si>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</si>
  <si>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</si>
  <si>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</si>
  <si>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</si>
  <si>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</si>
  <si>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</si>
  <si>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</si>
  <si>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</si>
  <si>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</si>
  <si>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</si>
  <si>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</si>
  <si>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</si>
  <si>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</si>
  <si>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</si>
  <si>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</si>
  <si>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</si>
  <si>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</si>
  <si>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</si>
  <si>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</si>
  <si>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</si>
  <si>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</si>
  <si>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</si>
  <si>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</si>
  <si>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</si>
  <si>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</si>
  <si>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</si>
  <si>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</si>
  <si>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</si>
  <si>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</si>
  <si>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</si>
  <si>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</si>
  <si>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</si>
  <si>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</si>
  <si>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</si>
  <si>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</si>
  <si>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</si>
  <si>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</si>
  <si>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</si>
  <si>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</si>
  <si>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</si>
  <si>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</si>
  <si>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</si>
  <si>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</si>
  <si>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</si>
  <si>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</si>
  <si>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</si>
  <si>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</si>
  <si>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</si>
  <si>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</si>
  <si>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</si>
  <si>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</si>
  <si>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</si>
  <si>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</si>
  <si>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</si>
  <si>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</si>
  <si>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</si>
  <si>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</si>
  <si>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</si>
  <si>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</si>
  <si>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</si>
  <si>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</si>
  <si>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</si>
  <si>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</si>
  <si>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</si>
  <si>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</si>
  <si>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</si>
  <si>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</si>
  <si>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</si>
  <si>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</si>
  <si>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</si>
  <si>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</si>
  <si>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</si>
  <si>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</si>
  <si>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</si>
  <si>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</si>
  <si>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</si>
  <si>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</si>
  <si>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</si>
  <si>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</si>
  <si>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</si>
  <si>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</si>
  <si>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</si>
  <si>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</si>
  <si>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</si>
  <si>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</si>
  <si>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</si>
  <si>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</si>
  <si>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</si>
  <si>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</si>
  <si>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</si>
  <si>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</si>
  <si>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</si>
  <si>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</si>
  <si>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</si>
  <si>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</si>
  <si>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</si>
  <si>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</si>
  <si>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</si>
  <si>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</si>
  <si>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</si>
  <si>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</si>
  <si>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</si>
  <si>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</si>
  <si>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</si>
  <si>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</si>
  <si>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</si>
  <si>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</si>
  <si>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</si>
  <si>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</si>
  <si>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</si>
  <si>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</si>
  <si>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</si>
  <si>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</si>
  <si>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</si>
  <si>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</si>
  <si>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</si>
  <si>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</si>
  <si>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</si>
  <si>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</si>
  <si>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</si>
  <si>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</si>
  <si>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</si>
  <si>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</si>
  <si>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</si>
  <si>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</si>
  <si>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</si>
  <si>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</si>
  <si>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</si>
  <si>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</si>
  <si>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</si>
  <si>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</si>
  <si>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</si>
  <si>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</si>
  <si>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</si>
  <si>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</si>
  <si>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</si>
  <si>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</si>
  <si>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</si>
  <si>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</si>
  <si>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</si>
  <si>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</si>
  <si>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</si>
  <si>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</si>
  <si>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</si>
  <si>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</si>
  <si>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</si>
  <si>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</si>
  <si>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</si>
  <si>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</si>
  <si>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</si>
  <si>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</si>
  <si>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</si>
  <si>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</si>
  <si>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</si>
  <si>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</si>
  <si>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</si>
  <si>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</si>
  <si>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</si>
  <si>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</si>
  <si>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</si>
  <si>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</si>
  <si>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</si>
  <si>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</si>
  <si>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</si>
  <si>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</si>
  <si>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</si>
  <si>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</si>
  <si>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</si>
  <si>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</si>
  <si>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</si>
  <si>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</si>
  <si>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</si>
  <si>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</si>
  <si>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</si>
  <si>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</si>
  <si>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</si>
  <si>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</si>
  <si>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</si>
  <si>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</si>
  <si>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</si>
  <si>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</si>
  <si>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</si>
  <si>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</si>
  <si>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</si>
  <si>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</si>
  <si>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</si>
  <si>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</si>
  <si>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</si>
  <si>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</si>
  <si>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</si>
  <si>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</si>
  <si>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</si>
  <si>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</si>
  <si>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</si>
  <si>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</si>
  <si>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</si>
  <si>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</si>
  <si>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</si>
  <si>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</si>
  <si>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</si>
  <si>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</si>
  <si>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</si>
  <si>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</si>
  <si>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</si>
  <si>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</si>
  <si>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</si>
  <si>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</si>
  <si>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</si>
  <si>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</si>
  <si>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</si>
  <si>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</si>
  <si>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</si>
  <si>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</si>
  <si>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</si>
  <si>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</si>
  <si>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</si>
  <si>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</si>
  <si>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</si>
  <si>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</si>
  <si>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</si>
  <si>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</si>
  <si>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</si>
  <si>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</si>
  <si>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</si>
  <si>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</si>
  <si>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</si>
  <si>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</si>
  <si>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</si>
  <si>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</si>
  <si>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</si>
  <si>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</si>
  <si>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</si>
  <si>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</si>
  <si>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</si>
  <si>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</si>
  <si>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</si>
  <si>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</si>
  <si>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</si>
  <si>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</si>
  <si>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</si>
  <si>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</si>
  <si>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</si>
  <si>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</si>
  <si>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</si>
  <si>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</si>
  <si>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</si>
  <si>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</si>
  <si>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</si>
  <si>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</si>
  <si>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</si>
  <si>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</si>
  <si>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</si>
  <si>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</si>
  <si>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</si>
  <si>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</si>
  <si>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</si>
  <si>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</si>
  <si>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</si>
  <si>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</si>
  <si>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</si>
  <si>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</si>
  <si>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</si>
  <si>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</si>
  <si>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</si>
  <si>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</si>
  <si>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</si>
  <si>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</si>
  <si>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</si>
  <si>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</si>
  <si>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</si>
  <si>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</si>
  <si>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</si>
  <si>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</si>
  <si>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</si>
  <si>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</si>
  <si>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</si>
  <si>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</si>
  <si>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</si>
  <si>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</si>
  <si>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</si>
  <si>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</si>
  <si>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</si>
  <si>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</si>
  <si>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</si>
  <si>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</si>
  <si>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</si>
  <si>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</si>
  <si>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</si>
  <si>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</si>
  <si>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</si>
  <si>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</si>
  <si>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</si>
  <si>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</si>
  <si>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</si>
  <si>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</si>
  <si>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</si>
  <si>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</si>
  <si>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</si>
  <si>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</si>
  <si>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</si>
  <si>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</si>
  <si>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</si>
  <si>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</si>
  <si>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</si>
  <si>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</si>
  <si>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</si>
  <si>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</si>
  <si>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</si>
  <si>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</si>
  <si>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</si>
  <si>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</si>
  <si>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</si>
  <si>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</si>
  <si>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</si>
  <si>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</si>
  <si>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</si>
  <si>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</si>
  <si>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</si>
  <si>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Mental Health Services Oversight and Accountability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</si>
</sst>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N123" sqref="N12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903</v>
      </c>
      <c r="G5" s="266"/>
      <c r="H5" s="266"/>
      <c r="I5" s="266"/>
      <c r="L5" s="39"/>
      <c r="M5" s="39"/>
      <c r="N5" s="39"/>
      <c r="O5" s="39"/>
      <c r="P5" s="39"/>
      <c r="Q5" s="39"/>
    </row>
    <row r="6" spans="1:20" ht="16.5" customHeight="1" x14ac:dyDescent="0.25">
      <c r="A6" s="264" t="s">
        <v>1682</v>
      </c>
      <c r="B6" s="264"/>
      <c r="C6" s="264"/>
      <c r="D6" s="264"/>
      <c r="E6" s="264"/>
      <c r="F6" s="267">
        <v>3085</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HEALTH AND HUMAN SERVICES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2535451</v>
      </c>
      <c r="M17" s="196">
        <v>2535451</v>
      </c>
      <c r="P17" s="196">
        <v>2535451</v>
      </c>
      <c r="Q17" s="224"/>
      <c r="S17" s="223">
        <f t="shared" si="0"/>
        <v>0</v>
      </c>
      <c r="T17" s="251" t="s">
        <v>1760</v>
      </c>
    </row>
    <row r="18" spans="1:20" ht="16.5" customHeight="1" x14ac:dyDescent="0.25">
      <c r="A18" s="99"/>
      <c r="B18" s="26" t="s">
        <v>178</v>
      </c>
      <c r="C18" s="26"/>
      <c r="D18" s="26"/>
      <c r="E18" s="193"/>
      <c r="F18" s="194"/>
      <c r="G18" s="194"/>
      <c r="H18" s="195"/>
      <c r="I18" s="195"/>
      <c r="J18" s="248">
        <f>P18</f>
        <v>221310</v>
      </c>
      <c r="M18" s="196">
        <v>221309</v>
      </c>
      <c r="P18" s="221">
        <f>IF(SUM($Q$20:$Q$23)&gt;SUM($P$15:$P$17),SUM($Q$20:$Q$23)-SUM($P$15:$P$17),0)</f>
        <v>221310</v>
      </c>
      <c r="Q18" s="224"/>
      <c r="S18" s="223">
        <f t="shared" si="0"/>
        <v>1</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792329</v>
      </c>
      <c r="N22" s="196">
        <v>792329</v>
      </c>
      <c r="P22" s="224"/>
      <c r="Q22" s="196">
        <v>792329</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1964432</v>
      </c>
      <c r="N23" s="196">
        <v>1964432</v>
      </c>
      <c r="P23" s="224"/>
      <c r="Q23" s="196">
        <v>1964432</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2756761</v>
      </c>
      <c r="K26" s="155">
        <f>SUM(K15:K25)</f>
        <v>2756761</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0815 - HLTH&amp;HUM SV SV.LAB(GAAP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633863</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633863</v>
      </c>
    </row>
    <row r="59" spans="1:16" ht="16.5" customHeight="1" x14ac:dyDescent="0.25">
      <c r="A59" s="99"/>
      <c r="C59" s="43"/>
      <c r="D59" s="43"/>
      <c r="E59" s="43"/>
      <c r="F59" s="44"/>
      <c r="G59" s="44"/>
      <c r="H59" s="45"/>
      <c r="I59" s="45"/>
      <c r="J59" s="155">
        <f>SUM(J55:J58)</f>
        <v>633863</v>
      </c>
      <c r="K59" s="155">
        <f>SUM(K55:K58)</f>
        <v>633863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702172</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3286</v>
      </c>
      <c r="K63" s="200"/>
    </row>
    <row r="64" spans="1:16" ht="16.5" customHeight="1" x14ac:dyDescent="0.25">
      <c r="A64" s="99"/>
      <c r="B64" s="26"/>
      <c r="C64" s="26" t="str">
        <f>IF($F$7="Proprietary","Cr: Acct 0870 - SERVICES &amp; CHARGES (MG ADJ)",VLOOKUP($F$9,'Drop Down Menus'!$F$2:$G$10,2,FALSE))</f>
        <v>Cr: Acct 0815 - HLTH&amp;HUM SV SV.LAB(GAAP ADJ)</v>
      </c>
      <c r="D64" s="193"/>
      <c r="E64" s="193"/>
      <c r="F64" s="194"/>
      <c r="G64" s="194"/>
      <c r="H64" s="195"/>
      <c r="I64" s="195"/>
      <c r="J64" s="200"/>
      <c r="K64" s="196">
        <v>705458</v>
      </c>
    </row>
    <row r="65" spans="1:12" ht="16.5" customHeight="1" x14ac:dyDescent="0.25">
      <c r="A65" s="99"/>
      <c r="C65" s="43"/>
      <c r="D65" s="43"/>
      <c r="E65" s="43"/>
      <c r="F65" s="44"/>
      <c r="G65" s="44"/>
      <c r="H65" s="45"/>
      <c r="I65" s="45"/>
      <c r="J65" s="155">
        <f>SUM(J62:J64)</f>
        <v>705458</v>
      </c>
      <c r="K65" s="155">
        <f>SUM(K62:K64)</f>
        <v>705458</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702172</v>
      </c>
      <c r="K68" s="197"/>
    </row>
    <row r="69" spans="1:12" ht="16.5" customHeight="1" x14ac:dyDescent="0.25">
      <c r="A69" s="99"/>
      <c r="B69" s="26"/>
      <c r="C69" s="26" t="s">
        <v>202</v>
      </c>
      <c r="D69" s="193"/>
      <c r="E69" s="193"/>
      <c r="F69" s="194"/>
      <c r="G69" s="194"/>
      <c r="H69" s="195"/>
      <c r="I69" s="195"/>
      <c r="J69" s="197"/>
      <c r="K69" s="196">
        <v>702172</v>
      </c>
      <c r="L69" s="37" t="str">
        <f>IF($J$62=$K$69,"","&lt;- Accts 0848 must agree")</f>
        <v/>
      </c>
    </row>
    <row r="70" spans="1:12" ht="16.5" customHeight="1" x14ac:dyDescent="0.25">
      <c r="A70" s="99"/>
      <c r="C70" s="43"/>
      <c r="D70" s="43"/>
      <c r="E70" s="43"/>
      <c r="F70" s="44"/>
      <c r="G70" s="44"/>
      <c r="H70" s="45"/>
      <c r="I70" s="45"/>
      <c r="J70" s="155">
        <f>SUM(J68:J69)</f>
        <v>702172</v>
      </c>
      <c r="K70" s="155">
        <f>SUM(K68:K69)</f>
        <v>702172</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715133</v>
      </c>
      <c r="K75" s="197"/>
    </row>
    <row r="76" spans="1:12" ht="16.5" customHeight="1" x14ac:dyDescent="0.25">
      <c r="A76" s="99"/>
      <c r="B76" s="26"/>
      <c r="C76" s="26" t="s">
        <v>210</v>
      </c>
      <c r="D76" s="193"/>
      <c r="E76" s="193"/>
      <c r="F76" s="194"/>
      <c r="G76" s="194"/>
      <c r="H76" s="195"/>
      <c r="I76" s="195"/>
      <c r="J76" s="197"/>
      <c r="K76" s="196">
        <v>715133</v>
      </c>
    </row>
    <row r="77" spans="1:12" ht="16.5" customHeight="1" x14ac:dyDescent="0.2">
      <c r="A77" s="99"/>
      <c r="B77" s="262" t="s">
        <v>1737</v>
      </c>
      <c r="C77" s="262"/>
      <c r="D77" s="262"/>
      <c r="E77" s="262"/>
      <c r="F77" s="262"/>
      <c r="G77" s="262"/>
      <c r="H77" s="262"/>
      <c r="I77" s="262"/>
      <c r="J77" s="155">
        <f>SUM(J75:J76)</f>
        <v>715133</v>
      </c>
      <c r="K77" s="155">
        <f>SUM(K75:K76)</f>
        <v>715133</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0815 - HLTH&amp;HUM SV SV.LAB(GAAP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0815 - HLTH&amp;HUM SV SV.LAB(GAAP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2535451</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-1426192</v>
      </c>
    </row>
    <row r="128" spans="1:12" ht="16.5" customHeight="1" x14ac:dyDescent="0.25">
      <c r="D128" s="193" t="s">
        <v>1708</v>
      </c>
      <c r="H128" s="37"/>
      <c r="K128" s="238">
        <f>-K23-K48+J68+J75+J96-K113</f>
        <v>-547127</v>
      </c>
    </row>
    <row r="129" spans="4:11" ht="16.5" customHeight="1" x14ac:dyDescent="0.25">
      <c r="D129" s="193" t="s">
        <v>1709</v>
      </c>
      <c r="H129" s="37"/>
      <c r="K129" s="238">
        <f>-K76</f>
        <v>-715133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disablePrompts="1"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 zoomScale="85" zoomScaleNormal="85" workbookViewId="0">
      <selection activeCell="D17" sqref="D17:F1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4560</v>
      </c>
      <c r="C9" s="281"/>
      <c r="D9" s="5"/>
      <c r="E9" s="5"/>
      <c r="F9" s="5"/>
    </row>
    <row r="10" spans="1:13" ht="15.75" x14ac:dyDescent="0.25">
      <c r="A10" s="12" t="s">
        <v>208</v>
      </c>
      <c r="B10" s="282" t="s">
        <v>1803</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v>715133</v>
      </c>
      <c r="C13" s="100">
        <v>1871</v>
      </c>
      <c r="D13" s="274" t="s">
        <v>6</v>
      </c>
      <c r="E13" s="275"/>
      <c r="F13" s="275"/>
      <c r="G13" s="57"/>
      <c r="H13" s="57"/>
      <c r="I13" s="57"/>
      <c r="J13" s="57"/>
      <c r="K13" s="57"/>
      <c r="L13" s="57"/>
      <c r="M13" s="57"/>
    </row>
    <row r="14" spans="1:13" x14ac:dyDescent="0.2">
      <c r="A14" s="84" t="str">
        <f>LEFT(A13,4)+1&amp;"–"&amp;RIGHT(A13,4)+1</f>
        <v>2025–2026</v>
      </c>
      <c r="B14" s="100">
        <v>547127</v>
      </c>
      <c r="C14" s="100">
        <v>457</v>
      </c>
      <c r="D14" s="274"/>
      <c r="E14" s="275"/>
      <c r="F14" s="275"/>
    </row>
    <row r="15" spans="1:13" ht="15.75" x14ac:dyDescent="0.2">
      <c r="A15" s="84" t="str">
        <f>LEFT(A14,4)+1&amp;"–"&amp;RIGHT(A14,4)+1</f>
        <v>2026–2027</v>
      </c>
      <c r="B15" s="100"/>
      <c r="C15" s="100"/>
      <c r="D15" s="270" t="s">
        <v>131</v>
      </c>
      <c r="E15" s="270"/>
      <c r="F15" s="270"/>
      <c r="G15" s="58"/>
      <c r="H15" s="58"/>
      <c r="I15" s="58"/>
      <c r="J15" s="58"/>
      <c r="K15" s="58"/>
      <c r="L15" s="58"/>
      <c r="M15" s="58"/>
    </row>
    <row r="16" spans="1:13" x14ac:dyDescent="0.2">
      <c r="A16" s="84" t="str">
        <f>LEFT(A15,4)+1&amp;"–"&amp;RIGHT(A15,4)+1</f>
        <v>2027–2028</v>
      </c>
      <c r="B16" s="100"/>
      <c r="C16" s="100"/>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v>1355.64</v>
      </c>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130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4560</v>
      </c>
      <c r="C40" s="285"/>
      <c r="E40" s="60"/>
    </row>
    <row r="41" spans="1:13" ht="15.75" x14ac:dyDescent="0.25">
      <c r="A41" s="12" t="s">
        <v>208</v>
      </c>
      <c r="B41" s="269" t="str">
        <f>B10</f>
        <v>Mental Health Services Oversight and Accountability Commission</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4560</v>
      </c>
      <c r="C71" s="285"/>
    </row>
    <row r="72" spans="1:13" ht="15.75" x14ac:dyDescent="0.25">
      <c r="A72" s="12" t="s">
        <v>208</v>
      </c>
      <c r="B72" s="269" t="str">
        <f>B10</f>
        <v>Mental Health Services Oversight and Accountability Commission</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B3" zoomScale="80" zoomScaleNormal="80" workbookViewId="0">
      <selection activeCell="U12" sqref="U1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3085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4560 - Mental Health Services Oversight and Accountability Commission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3085 Journal Entries'!$F$8="Governmental Fund",'LS-Fund 3085 Journal Entries'!$K$23,0)</f>
        <v>1964432</v>
      </c>
      <c r="G10" s="103"/>
      <c r="H10" s="107">
        <f>IF('LS-Fund 3085 Journal Entries'!$F$8="Governmental Fund",SUM('LS-Fund 3085 Journal Entries'!$K$48,'LS-Fund 3085 Journal Entries'!K113),0)</f>
        <v>0</v>
      </c>
      <c r="I10" s="103"/>
      <c r="J10" s="107">
        <f>IF('LS-Fund 3085 Journal Entries'!$F$8="Governmental Fund",SUM('LS-Fund 3085 Journal Entries'!$J$68,'LS-Fund 3085 Journal Entries'!J96),0)</f>
        <v>702172</v>
      </c>
      <c r="K10" s="103"/>
      <c r="L10" s="109">
        <f>SUM(F10+H10-J10)</f>
        <v>1262260</v>
      </c>
      <c r="M10" s="103"/>
      <c r="N10" s="107">
        <f>IF('LS-Fund 3085 Journal Entries'!$F$8="Governmental Fund",'LS-Fund 3085 Journal Entries'!$K$76,0)</f>
        <v>715133</v>
      </c>
      <c r="O10" s="103"/>
      <c r="P10" s="109">
        <f>L10-N10</f>
        <v>547127</v>
      </c>
      <c r="Q10" s="71"/>
    </row>
    <row r="11" spans="2:17" ht="19.5" thickTop="1" thickBot="1" x14ac:dyDescent="0.3">
      <c r="B11" s="69"/>
      <c r="C11" s="73" t="s">
        <v>21</v>
      </c>
      <c r="F11" s="108">
        <f>SUM(F10:F10)</f>
        <v>1964432</v>
      </c>
      <c r="G11" s="103"/>
      <c r="H11" s="108">
        <f>SUM(H10:H10)</f>
        <v>0</v>
      </c>
      <c r="I11" s="103"/>
      <c r="J11" s="108">
        <f>SUM(J10:J10)</f>
        <v>702172</v>
      </c>
      <c r="K11" s="103"/>
      <c r="L11" s="108">
        <f>SUM(L10:L10)</f>
        <v>1262260</v>
      </c>
      <c r="M11" s="103"/>
      <c r="N11" s="108">
        <f>SUM(N10:N10)</f>
        <v>715133</v>
      </c>
      <c r="O11" s="103"/>
      <c r="P11" s="108">
        <f>SUM(P10:P10)</f>
        <v>547127</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3085 Journal Entries'!$F$8="Proprietary - Internal Service Fund",'LS-Fund 3085 Journal Entries'!$K$23,0)</f>
        <v>0</v>
      </c>
      <c r="G14" s="103"/>
      <c r="H14" s="107">
        <f>IF('LS-Fund 3085 Journal Entries'!$F$8="Proprietary - Internal Service Fund",SUM('LS-Fund 3085 Journal Entries'!$K$48,'LS-Fund 3085 Journal Entries'!K113),0)</f>
        <v>0</v>
      </c>
      <c r="I14" s="103"/>
      <c r="J14" s="107">
        <f>IF('LS-Fund 3085 Journal Entries'!$F$8="Proprietary - Internal Service Fund",SUM('LS-Fund 3085 Journal Entries'!$J$68,'LS-Fund 3085 Journal Entries'!J96),0)</f>
        <v>0</v>
      </c>
      <c r="K14" s="103"/>
      <c r="L14" s="109">
        <f>SUM(F14+H14-J14)</f>
        <v>0</v>
      </c>
      <c r="M14" s="103"/>
      <c r="N14" s="107">
        <f>IF('LS-Fund 3085 Journal Entries'!$F$8="Proprietary - Internal Service Fund",'LS-Fund 3085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3085 Journal Entries'!$F$8="Proprietary - Enterprise Fund",'LS-Fund 3085 Journal Entries'!$K$23,0)</f>
        <v>0</v>
      </c>
      <c r="G18" s="103"/>
      <c r="H18" s="107">
        <f>IF('LS-Fund 3085 Journal Entries'!$F$8="Proprietary - Enterprise Fund",SUM('LS-Fund 3085 Journal Entries'!$K$48,'LS-Fund 3085 Journal Entries'!K113),0)</f>
        <v>0</v>
      </c>
      <c r="I18" s="103"/>
      <c r="J18" s="107">
        <f>IF('LS-Fund 3085 Journal Entries'!$F$8="Proprietary - Enterprise Fund",SUM('LS-Fund 3085 Journal Entries'!$J$68,'LS-Fund 3085 Journal Entries'!J96),0)</f>
        <v>0</v>
      </c>
      <c r="K18" s="103"/>
      <c r="L18" s="109">
        <f>SUM(F18+H18-J18)</f>
        <v>0</v>
      </c>
      <c r="M18" s="103"/>
      <c r="N18" s="107">
        <f>IF('LS-Fund 3085 Journal Entries'!$F$8="Proprietary - Enterprise Fund",'LS-Fund 3085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56" zoomScale="112" zoomScaleNormal="112" workbookViewId="0">
      <selection activeCell="N16" sqref="N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3085 Journal Entries'!$F$8="Governmental Fund",'LS-Fund 3085 Journal Entries'!$K$23,0)</f>
        <v>1964432</v>
      </c>
      <c r="C16" s="168" t="s">
        <v>155</v>
      </c>
      <c r="D16" s="130">
        <f>IF('LS-Fund 3085 Journal Entries'!$F$8="Governmental Fund",'LS-Fund 3085 Journal Entries'!$K$48,0)</f>
        <v>0</v>
      </c>
      <c r="E16" s="170" t="s">
        <v>156</v>
      </c>
      <c r="F16" s="130">
        <f>IF('LS-Fund 3085 Journal Entries'!$F$8="Governmental Fund",'LS-Fund 3085 Journal Entries'!$J$68,0)</f>
        <v>702172</v>
      </c>
      <c r="G16" s="169" t="s">
        <v>156</v>
      </c>
      <c r="H16" s="130">
        <f>IF('LS-Fund 3085 Journal Entries'!$F$8="Governmental Fund",'LS-Fund 3085 Journal Entries'!$J$96,0)</f>
        <v>0</v>
      </c>
      <c r="I16" s="169" t="s">
        <v>155</v>
      </c>
      <c r="J16" s="130">
        <f>IF('LS-Fund 3085 Journal Entries'!$F$8="Governmental Fund",'LS-Fund 3085 Journal Entries'!$K$113,0)</f>
        <v>0</v>
      </c>
      <c r="K16" s="170" t="s">
        <v>159</v>
      </c>
      <c r="L16" s="133">
        <f>+B16+D16-F16-H16+J16</f>
        <v>1262260</v>
      </c>
      <c r="M16" s="132"/>
      <c r="N16" s="134">
        <f>SUM('LS-Department Note Disclosure'!B13:B36)</f>
        <v>1262260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3085 Journal Entries'!$F$8="Proprietary - Internal Service Fund",'LS-Fund 3085 Journal Entries'!$K$23,0)</f>
        <v>0</v>
      </c>
      <c r="C24" s="168" t="s">
        <v>155</v>
      </c>
      <c r="D24" s="130">
        <f>IF('LS-Fund 3085 Journal Entries'!$F$8="Proprietary - Internal Service Fund",'LS-Fund 3085 Journal Entries'!$K$48,0)</f>
        <v>0</v>
      </c>
      <c r="E24" s="170" t="s">
        <v>156</v>
      </c>
      <c r="F24" s="130">
        <f>IF('LS-Fund 3085 Journal Entries'!$F$8="Proprietary - Internal Service Fund",'LS-Fund 3085 Journal Entries'!$J$68,0)</f>
        <v>0</v>
      </c>
      <c r="G24" s="169" t="s">
        <v>156</v>
      </c>
      <c r="H24" s="130">
        <f>IF('LS-Fund 3085 Journal Entries'!$F$8="Proprietary - Internal Service Fund",'LS-Fund 3085 Journal Entries'!$J$96,0)</f>
        <v>0</v>
      </c>
      <c r="I24" s="169" t="s">
        <v>155</v>
      </c>
      <c r="J24" s="130">
        <f>IF('LS-Fund 3085 Journal Entries'!$F$8="Proprietary - Internal Service Fund",'LS-Fund 3085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3085 Journal Entries'!$F$8="Proprietary - Enterprise Fund",'LS-Fund 3085 Journal Entries'!$K$23,0)</f>
        <v>0</v>
      </c>
      <c r="C33" s="168" t="s">
        <v>155</v>
      </c>
      <c r="D33" s="130">
        <f>IF('LS-Fund 3085 Journal Entries'!$F$8="Proprietary - Enterprise Fund",'LS-Fund 3085 Journal Entries'!$K$48,0)</f>
        <v>0</v>
      </c>
      <c r="E33" s="170" t="s">
        <v>156</v>
      </c>
      <c r="F33" s="130">
        <f>IF('LS-Fund 3085 Journal Entries'!$F$8="Proprietary - Enterprise Fund",'LS-Fund 3085 Journal Entries'!$J$68,0)</f>
        <v>0</v>
      </c>
      <c r="G33" s="169" t="s">
        <v>156</v>
      </c>
      <c r="H33" s="130">
        <f>IF('LS-Fund 3085 Journal Entries'!$F$8="Proprietary - Enterprise Fund",'LS-Fund 3085 Journal Entries'!$J$96,0)</f>
        <v>0</v>
      </c>
      <c r="I33" s="169" t="s">
        <v>155</v>
      </c>
      <c r="J33" s="130">
        <f>IF('LS-Fund 3085 Journal Entries'!$F$8="Proprietary - Enterprise Fund",'LS-Fund 3085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3085 Journal Entries'!$F$8="Governmental Fund",'LS-Fund 3085 Journal Entries'!$K$76,0)</f>
        <v>715133</v>
      </c>
      <c r="C42" s="138"/>
      <c r="E42" s="138"/>
      <c r="G42" s="167"/>
      <c r="H42" s="167"/>
      <c r="I42" s="167"/>
      <c r="J42" s="167"/>
      <c r="K42" s="138"/>
      <c r="L42" s="138"/>
      <c r="M42" s="139"/>
      <c r="N42" s="134">
        <f>'LS-Department Note Disclosure'!B13</f>
        <v>715133</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3085 Journal Entries'!$F$8="Proprietary - Internal Service Fund",'LS-Fund 3085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3085 Journal Entries'!$F$8="Proprietary - Enterprise Fund",'LS-Fund 3085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1964432</v>
      </c>
      <c r="J66" s="143">
        <f>SUM(D66)</f>
        <v>1964432</v>
      </c>
      <c r="L66" s="144" t="str">
        <f>CONCATENATE("Balance July 1, ",LEFT('LS-Department Note Disclosure'!$B$8,4))</f>
        <v>Balance July 1, 2023</v>
      </c>
      <c r="N66" s="143">
        <f>'LS-Lease Liabilities'!F10</f>
        <v>1964432</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702172</v>
      </c>
      <c r="E68" s="171" t="s">
        <v>155</v>
      </c>
      <c r="F68" s="125" t="s">
        <v>1750</v>
      </c>
      <c r="H68" s="143">
        <f>$H$16</f>
        <v>0</v>
      </c>
      <c r="J68" s="143">
        <f>SUM(D68,H68)</f>
        <v>702172</v>
      </c>
      <c r="L68" s="144" t="s">
        <v>15</v>
      </c>
      <c r="N68" s="143">
        <f>'LS-Lease Liabilities'!J10</f>
        <v>702172</v>
      </c>
      <c r="P68" s="135">
        <f t="shared" si="0"/>
        <v>0</v>
      </c>
    </row>
    <row r="69" spans="1:17" x14ac:dyDescent="0.25">
      <c r="B69" s="125" t="s">
        <v>165</v>
      </c>
      <c r="D69" s="143">
        <f>$B$42</f>
        <v>715133</v>
      </c>
      <c r="J69" s="143">
        <f>SUM(D69)</f>
        <v>715133</v>
      </c>
      <c r="L69" s="144" t="s">
        <v>16</v>
      </c>
      <c r="N69" s="143">
        <f>'LS-Lease Liabilities'!N10</f>
        <v>715133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30" sqref="E30"/>
      <selection pane="bottomLeft" activeCell="E30" sqref="E30"/>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30" sqref="E30"/>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30" sqref="E3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30" sqref="E30"/>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E30" sqref="E30"/>
      <selection pane="bottomLeft" activeCell="E30" sqref="E30"/>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E30" sqref="E30"/>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E30" sqref="E3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3085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3085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2024-12-23T19:54:35Z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2024-12-06T17:15:15Z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8ad5ab38-563f-410f-b00e-adbad5ebca9b</vt:lpwstr>
  </property>
  <property fmtid="{D5CDD505-2E9C-101B-9397-08002B2CF9AE}" pid="7" name="MSIP_Label_defa4170-0d19-0005-0004-bc88714345d2_ActionId">
    <vt:lpwstr>d58be527-9c19-434c-9a8d-56e7df0b992c</vt:lpwstr>
  </property>
  <property fmtid="{D5CDD505-2E9C-101B-9397-08002B2CF9AE}" pid="8" name="MSIP_Label_defa4170-0d19-0005-0004-bc88714345d2_ContentBits">
    <vt:lpwstr>0</vt:lpwstr>
  </property>
</Properties>
</file>