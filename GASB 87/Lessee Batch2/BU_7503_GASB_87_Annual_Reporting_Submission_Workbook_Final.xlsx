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7503 STATE PERSONNEL BOARD\"/>
    </mc:Choice>
  </mc:AlternateContent>
  <xr:revisionPtr revIDLastSave="0" documentId="13_ncr:1_{4CC936B2-ABE4-45C8-ACCF-0BE209CC0982}"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7" i="2" l="1"/>
  <c r="M17" i="2" l="1"/>
  <c r="L56" i="8" l="1"/>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<sst xmlns="http://schemas.openxmlformats.org/spreadsheetml/2006/main" count="8061" uniqueCount="1800">
  <si>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</si>
  <si>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</si>
  <si>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</si>
  <si>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</si>
  <si>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</si>
  <si>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</si>
  <si>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</si>
  <si>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</si>
  <si>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</si>
  <si>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</si>
  <si>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</si>
  <si>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</si>
  <si>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</si>
  <si>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</si>
  <si>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</si>
  <si>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</si>
  <si>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</si>
  <si>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</si>
  <si>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</si>
  <si>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</si>
  <si>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</si>
  <si>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</si>
  <si>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</si>
  <si>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</si>
  <si>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</si>
  <si>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</si>
  <si>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</si>
  <si>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</si>
  <si>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</si>
  <si>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</si>
  <si>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</si>
  <si>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</si>
  <si>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</si>
  <si>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</si>
  <si>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</si>
  <si>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</si>
  <si>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</si>
  <si>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</si>
  <si>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</si>
  <si>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</si>
  <si>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</si>
  <si>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</si>
  <si>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</si>
  <si>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</si>
  <si>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</si>
  <si>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</si>
  <si>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</si>
  <si>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</si>
  <si>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</si>
  <si>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</si>
  <si>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</si>
  <si>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</si>
  <si>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</si>
  <si>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</si>
  <si>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</si>
  <si>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</si>
  <si>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</si>
  <si>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</si>
  <si>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</si>
  <si>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</si>
  <si>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</si>
  <si>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</si>
  <si>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</si>
  <si>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</si>
  <si>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</si>
  <si>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</si>
  <si>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</si>
  <si>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</si>
  <si>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</si>
  <si>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</si>
  <si>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</si>
  <si>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</si>
  <si>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</si>
  <si>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</si>
  <si>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</si>
  <si>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</si>
  <si>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</si>
  <si>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</si>
  <si>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</si>
  <si>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</si>
  <si>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</si>
  <si>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</si>
  <si>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</si>
  <si>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</si>
  <si>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</si>
  <si>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</si>
  <si>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</si>
  <si>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</si>
  <si>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</si>
  <si>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</si>
  <si>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</si>
  <si>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</si>
  <si>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</si>
  <si>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</si>
  <si>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</si>
  <si>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</si>
  <si>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</si>
  <si>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</si>
  <si>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</si>
  <si>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</si>
  <si>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</si>
  <si>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</si>
  <si>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</si>
  <si>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</si>
  <si>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</si>
  <si>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</si>
  <si>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</si>
  <si>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</si>
  <si>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</si>
  <si>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</si>
  <si>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</si>
  <si>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</si>
  <si>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</si>
  <si>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</si>
  <si>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</si>
  <si>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</si>
  <si>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</si>
  <si>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</si>
  <si>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</si>
  <si>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</si>
  <si>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</si>
  <si>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</si>
  <si>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</si>
  <si>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</si>
  <si>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</si>
  <si>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</si>
  <si>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</si>
  <si>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</si>
  <si>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</si>
  <si>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</si>
  <si>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</si>
  <si>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</si>
  <si>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</si>
  <si>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</si>
  <si>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</si>
  <si>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</si>
  <si>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</si>
  <si>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</si>
  <si>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</si>
  <si>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</si>
  <si>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</si>
  <si>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</si>
  <si>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</si>
  <si>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</si>
  <si>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</si>
  <si>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</si>
  <si>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</si>
  <si>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</si>
  <si>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</si>
  <si>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</si>
  <si>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</si>
  <si>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</si>
  <si>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</si>
  <si>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</si>
  <si>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</si>
  <si>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</si>
  <si>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</si>
  <si>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</si>
  <si>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</si>
  <si>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</si>
  <si>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</si>
  <si>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</si>
  <si>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</si>
  <si>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</si>
  <si>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</si>
  <si>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</si>
  <si>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</si>
  <si>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</si>
  <si>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</si>
  <si>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</si>
  <si>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</si>
  <si>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</si>
  <si>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</si>
  <si>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</si>
  <si>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</si>
  <si>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</si>
  <si>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</si>
  <si>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</si>
  <si>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</si>
  <si>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</si>
  <si>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</si>
  <si>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</si>
  <si>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</si>
  <si>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</si>
  <si>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</si>
  <si>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</si>
  <si>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</si>
  <si>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</si>
  <si>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</si>
  <si>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</si>
  <si>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</si>
  <si>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</si>
  <si>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</si>
  <si>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</si>
  <si>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</si>
  <si>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</si>
  <si>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</si>
  <si>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</si>
  <si>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</si>
  <si>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</si>
  <si>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</si>
  <si>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</si>
  <si>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</si>
  <si>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</si>
  <si>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</si>
  <si>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</si>
  <si>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</si>
  <si>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</si>
  <si>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</si>
  <si>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</si>
  <si>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</si>
  <si>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</si>
  <si>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</si>
  <si>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</si>
  <si>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</si>
  <si>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</si>
  <si>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</si>
  <si>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</si>
  <si>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</si>
  <si>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</si>
  <si>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</si>
  <si>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</si>
  <si>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</si>
  <si>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</si>
  <si>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</si>
  <si>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</si>
  <si>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</si>
  <si>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</si>
  <si>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</si>
  <si>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</si>
  <si>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</si>
  <si>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</si>
  <si>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</si>
  <si>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</si>
  <si>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</si>
  <si>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</si>
  <si>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</si>
  <si>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</si>
  <si>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</si>
  <si>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</si>
  <si>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</si>
  <si>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</si>
  <si>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</si>
  <si>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</si>
  <si>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</si>
  <si>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</si>
  <si>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</si>
  <si>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</si>
  <si>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</si>
  <si>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</si>
  <si>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</si>
  <si>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</si>
  <si>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</si>
  <si>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</si>
  <si>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</si>
  <si>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</si>
  <si>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</si>
  <si>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</si>
  <si>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</si>
  <si>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</si>
  <si>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</si>
  <si>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</si>
  <si>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</si>
  <si>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</si>
  <si>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</si>
  <si>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</si>
  <si>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</si>
  <si>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</si>
  <si>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</si>
  <si>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</si>
  <si>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</si>
  <si>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</si>
  <si>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</si>
  <si>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</si>
  <si>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</si>
  <si>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</si>
  <si>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</si>
  <si>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</si>
  <si>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</si>
  <si>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</si>
  <si>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</si>
  <si>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</si>
  <si>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</si>
  <si>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</si>
  <si>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</si>
  <si>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</si>
  <si>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</si>
  <si>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</si>
  <si>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</si>
  <si>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</si>
  <si>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</si>
  <si>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</si>
  <si>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</si>
  <si>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</si>
  <si>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</si>
  <si>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</si>
  <si>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</si>
  <si>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</si>
  <si>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</si>
  <si>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</si>
  <si>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</si>
  <si>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</si>
  <si>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</si>
  <si>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</si>
  <si>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</si>
  <si>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</si>
  <si>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</si>
  <si>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</si>
  <si>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</si>
  <si>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</si>
  <si>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</si>
  <si>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</si>
  <si>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</si>
  <si>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</si>
  <si>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</si>
  <si>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</si>
  <si>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</si>
  <si>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</si>
  <si>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</si>
  <si>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</si>
  <si>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</si>
  <si>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</si>
  <si>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</si>
  <si>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</si>
  <si>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</si>
  <si>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</si>
  <si>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</si>
  <si>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</si>
  <si>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</si>
  <si>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</si>
  <si>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</si>
  <si>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</si>
  <si>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</si>
  <si>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</si>
  <si>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</si>
  <si>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</si>
  <si>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</si>
  <si>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</si>
  <si>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</si>
  <si>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</si>
  <si>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</si>
  <si>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</si>
  <si>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</si>
  <si>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</si>
  <si>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</si>
  <si>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</si>
  <si>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</si>
  <si>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</si>
  <si>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</si>
  <si>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</si>
  <si>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</si>
  <si>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</si>
  <si>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</si>
  <si>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</si>
  <si>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</si>
  <si>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</si>
  <si>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</si>
  <si>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</si>
  <si>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</si>
  <si>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</si>
  <si>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</si>
  <si>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</si>
  <si>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</si>
  <si>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</si>
  <si>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</si>
  <si>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</si>
  <si>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</si>
  <si>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</si>
  <si>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</si>
  <si>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</si>
  <si>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</si>
  <si>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</si>
  <si>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</si>
  <si>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</si>
  <si>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</si>
  <si>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</si>
  <si>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</si>
  <si>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</si>
  <si>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</si>
  <si>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</si>
  <si>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</si>
  <si>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</si>
  <si>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</si>
  <si>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</si>
  <si>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</si>
  <si>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</si>
  <si>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</si>
  <si>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</si>
  <si>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</si>
  <si>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</si>
  <si>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</si>
  <si>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</si>
  <si>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</si>
  <si>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</si>
  <si>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</si>
  <si>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</si>
  <si>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</si>
  <si>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</si>
  <si>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</si>
  <si>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</si>
  <si>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</si>
  <si>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</si>
  <si>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</si>
  <si>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</si>
  <si>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</si>
  <si>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</si>
  <si>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</si>
  <si>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</si>
  <si>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</si>
  <si>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</si>
  <si>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</si>
  <si>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</si>
  <si>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</si>
  <si>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</si>
  <si>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</si>
  <si>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</si>
  <si>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</si>
  <si>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</si>
  <si>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</si>
  <si>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</si>
  <si>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</si>
  <si>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</si>
  <si>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</si>
  <si>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</si>
  <si>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</si>
  <si>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</si>
  <si>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</si>
  <si>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</si>
  <si>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</si>
  <si>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</si>
  <si>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</si>
  <si>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</si>
  <si>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</si>
  <si>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</si>
  <si>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</si>
  <si>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</si>
  <si>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</si>
  <si>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</si>
  <si>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</si>
  <si>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</si>
  <si>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</si>
  <si>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</si>
  <si>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</si>
  <si>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</si>
  <si>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</si>
  <si>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</si>
  <si>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</si>
  <si>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</si>
  <si>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</si>
  <si>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</si>
  <si>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</si>
  <si>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</si>
  <si>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</si>
  <si>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</si>
  <si>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</si>
  <si>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</si>
  <si>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</si>
  <si>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</si>
  <si>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</si>
  <si>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</si>
  <si>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</si>
  <si>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</si>
  <si>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</si>
  <si>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</si>
  <si>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</si>
  <si>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</si>
  <si>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</si>
  <si>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</si>
  <si>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</si>
  <si>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</si>
  <si>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</si>
  <si>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</si>
  <si>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</si>
  <si>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</si>
  <si>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</si>
  <si>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</si>
  <si>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</si>
  <si>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</si>
  <si>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</si>
  <si>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</si>
  <si>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</si>
  <si>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</si>
  <si>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</si>
  <si>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</si>
  <si>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</si>
  <si>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</si>
  <si>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</si>
  <si>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</si>
  <si>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</si>
  <si>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</si>
  <si>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</si>
  <si>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</si>
  <si>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</si>
  <si>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</si>
  <si>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</si>
  <si>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</si>
  <si>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</si>
  <si>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</si>
  <si>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</si>
  <si>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</si>
  <si>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</si>
  <si>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</si>
  <si>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</si>
  <si>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</si>
  <si>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</si>
  <si>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</si>
  <si>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</si>
  <si>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</si>
  <si>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</si>
  <si>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</si>
  <si>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</si>
  <si>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</si>
  <si>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</si>
  <si>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</si>
  <si>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</si>
  <si>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</si>
  <si>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</si>
  <si>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</si>
  <si>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</si>
  <si>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</si>
  <si>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</si>
  <si>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</si>
  <si>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</si>
  <si>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</si>
  <si>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</si>
  <si>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</si>
  <si>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</si>
  <si>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</si>
  <si>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</si>
  <si>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</si>
  <si>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</si>
  <si>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</si>
  <si>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</si>
  <si>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</si>
  <si>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</si>
  <si>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</si>
  <si>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</si>
  <si>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</si>
  <si>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</si>
  <si>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</si>
  <si>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</si>
  <si>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</si>
  <si>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</si>
  <si>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</si>
  <si>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</si>
  <si>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</si>
  <si>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</si>
  <si>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</si>
  <si>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</si>
  <si>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</si>
  <si>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</si>
  <si>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</si>
  <si>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</si>
  <si>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</si>
  <si>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</si>
  <si>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</si>
  <si>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</si>
  <si>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</si>
  <si>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</si>
  <si>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</si>
  <si>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</si>
  <si>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</si>
  <si>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</si>
  <si>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</si>
  <si>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</si>
  <si>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</si>
  <si>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</si>
  <si>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</si>
  <si>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</si>
  <si>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</si>
  <si>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</si>
  <si>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</si>
  <si>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</si>
  <si>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</si>
  <si>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</si>
  <si>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</si>
  <si>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</si>
  <si>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</si>
  <si>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</si>
  <si>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</si>
  <si>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</si>
  <si>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</si>
  <si>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</si>
  <si>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</si>
  <si>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</si>
  <si>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</si>
  <si>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</si>
  <si>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</si>
  <si>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</si>
  <si>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</si>
  <si>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</si>
  <si>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</si>
  <si>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</si>
  <si>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</si>
  <si>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</si>
  <si>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</si>
  <si>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</si>
  <si>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</si>
  <si>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</si>
  <si>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</si>
  <si>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</si>
  <si>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</si>
  <si>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</si>
  <si>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</si>
  <si>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</si>
  <si>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</si>
  <si>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</si>
  <si>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</si>
  <si>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</si>
  <si>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</si>
  <si>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</si>
  <si>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</si>
  <si>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</si>
  <si>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</si>
  <si>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</si>
  <si>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</si>
  <si>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</si>
  <si>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</si>
  <si>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</si>
  <si>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</si>
  <si>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</si>
  <si>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</si>
  <si>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</si>
  <si>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</si>
  <si>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</si>
  <si>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</si>
  <si>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</si>
  <si>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</si>
  <si>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</si>
  <si>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</si>
  <si>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</si>
  <si>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</si>
  <si>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</si>
  <si>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</si>
  <si>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</si>
  <si>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</si>
  <si>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</si>
  <si>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</si>
  <si>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</si>
  <si>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</si>
  <si>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</si>
  <si>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</si>
  <si>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</si>
  <si>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</si>
  <si>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</si>
  <si>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</si>
  <si>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</si>
  <si>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</si>
  <si>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</si>
  <si>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</si>
  <si>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</si>
  <si>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</si>
  <si>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</si>
  <si>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</si>
  <si>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</si>
  <si>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</si>
  <si>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</si>
  <si>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</si>
  <si>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</si>
  <si>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</si>
  <si>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</si>
  <si>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</si>
  <si>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</si>
  <si>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</si>
  <si>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</si>
  <si>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</si>
  <si>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</si>
  <si>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</si>
  <si>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</si>
  <si>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</si>
  <si>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</si>
  <si>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</si>
  <si>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</si>
  <si>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</si>
  <si>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</si>
  <si>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</si>
  <si>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</si>
  <si>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</si>
  <si>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</si>
  <si>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</si>
  <si>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</si>
  <si>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</si>
  <si>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</si>
  <si>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</si>
  <si>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</si>
  <si>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</si>
  <si>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</si>
  <si>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</si>
  <si>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</si>
  <si>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</si>
  <si>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</si>
  <si>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</si>
  <si>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</si>
  <si>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</si>
  <si>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</si>
  <si>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</si>
  <si>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</si>
  <si>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</si>
  <si>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</si>
  <si>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</si>
  <si>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</si>
  <si>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</si>
  <si>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</si>
  <si>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</si>
  <si>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</si>
  <si>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</si>
  <si>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</si>
  <si>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</si>
  <si>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</si>
  <si>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</si>
  <si>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</si>
  <si>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</si>
  <si>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</si>
  <si>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</si>
  <si>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</si>
  <si>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</si>
  <si>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</si>
  <si>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</si>
  <si>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</si>
  <si>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</si>
  <si>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</si>
  <si>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</si>
  <si>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</si>
  <si>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</si>
  <si>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</si>
  <si>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</si>
  <si>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</si>
  <si>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</si>
  <si>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</si>
  <si>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</si>
  <si>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</si>
  <si>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</si>
  <si>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</si>
  <si>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</si>
  <si>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</si>
  <si>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</si>
  <si>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</si>
  <si>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</si>
  <si>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</si>
  <si>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</si>
  <si>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</si>
  <si>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</si>
  <si>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</si>
  <si>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</si>
  <si>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</si>
  <si>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</si>
  <si>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</si>
  <si>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</si>
  <si>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</si>
  <si>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</si>
  <si>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</si>
  <si>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</si>
  <si>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</si>
  <si>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</si>
  <si>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</si>
  <si>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</si>
  <si>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</si>
  <si>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</si>
  <si>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</si>
  <si>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</si>
  <si>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</si>
  <si>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</si>
  <si>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</si>
  <si>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</si>
  <si>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</si>
  <si>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</si>
  <si>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</si>
  <si>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</si>
  <si>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</si>
  <si>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</si>
  <si>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</si>
  <si>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</si>
  <si>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</si>
  <si>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</si>
  <si>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</si>
  <si>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</si>
  <si>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</si>
  <si>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</si>
  <si>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</si>
  <si>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</si>
  <si>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</si>
  <si>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</si>
  <si>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</si>
  <si>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</si>
  <si>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</si>
  <si>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</si>
  <si>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</si>
  <si>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</si>
  <si>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</si>
  <si>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</si>
  <si>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</si>
  <si>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</si>
  <si>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</si>
  <si>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</si>
  <si>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</si>
  <si>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</si>
  <si>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</si>
  <si>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</si>
  <si>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</si>
  <si>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</si>
  <si>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</si>
  <si>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</si>
  <si>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</si>
  <si>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</si>
  <si>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</si>
  <si>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</si>
  <si>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</si>
  <si>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</si>
  <si>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</si>
  <si>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</si>
  <si>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</si>
  <si>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</si>
  <si>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</si>
  <si>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</si>
  <si>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</si>
  <si>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</si>
  <si>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</si>
  <si>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</si>
  <si>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</si>
  <si>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</si>
  <si>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</si>
  <si>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</si>
  <si>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</si>
  <si>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</si>
  <si>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</si>
  <si>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</si>
  <si>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</si>
  <si>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</si>
  <si>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</si>
  <si>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</si>
  <si>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</si>
  <si>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</si>
  <si>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</si>
  <si>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</si>
  <si>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</si>
  <si>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</si>
  <si>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</si>
  <si>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</si>
  <si>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</si>
  <si>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</si>
  <si>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</si>
  <si>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</si>
  <si>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</si>
  <si>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</si>
  <si>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</si>
  <si>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</si>
  <si>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</si>
  <si>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</si>
  <si>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</si>
  <si>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</si>
  <si>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</si>
  <si>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</si>
  <si>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</si>
  <si>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</si>
  <si>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</si>
  <si>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</si>
  <si>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</si>
  <si>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</si>
  <si>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</si>
  <si>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</si>
  <si>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</si>
  <si>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</si>
  <si>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</si>
  <si>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</si>
  <si>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</si>
  <si>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</si>
  <si>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</si>
  <si>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</si>
  <si>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</si>
  <si>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</si>
  <si>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</si>
  <si>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</si>
  <si>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</si>
  <si>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</si>
  <si>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</si>
  <si>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</si>
  <si>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</si>
  <si>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</si>
  <si>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</si>
  <si>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</si>
  <si>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</si>
  <si>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</si>
  <si>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</si>
  <si>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</si>
  <si>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</si>
  <si>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</si>
  <si>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</si>
  <si>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</si>
  <si>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</si>
  <si>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</si>
  <si>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</si>
  <si>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</si>
  <si>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</si>
  <si>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</si>
  <si>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</si>
  <si>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</si>
  <si>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</si>
  <si>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</si>
  <si>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</si>
  <si>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</si>
  <si>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</si>
  <si>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</si>
  <si>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</si>
  <si>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</si>
  <si>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</si>
  <si>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</si>
  <si>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</si>
  <si>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</si>
  <si>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</si>
  <si>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</si>
  <si>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</si>
  <si>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</si>
  <si>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</si>
  <si>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</si>
  <si>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</si>
  <si>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</si>
  <si>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</si>
  <si>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</si>
  <si>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</si>
  <si>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</si>
  <si>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</si>
  <si>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</si>
  <si>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</si>
  <si>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</si>
  <si>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</si>
  <si>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</si>
  <si>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</si>
  <si>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</si>
  <si>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</si>
  <si>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</si>
  <si>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</si>
  <si>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</si>
  <si>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</si>
  <si>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</si>
  <si>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</si>
  <si>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</si>
  <si>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</si>
  <si>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</si>
  <si>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</si>
  <si>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</si>
  <si>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</si>
  <si>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</si>
  <si>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</si>
  <si>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</si>
  <si>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</si>
  <si>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</si>
  <si>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</si>
  <si>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</si>
  <si>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</si>
  <si>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</si>
  <si>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</si>
  <si>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</si>
  <si>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</si>
  <si>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</si>
  <si>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</si>
  <si>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</si>
  <si>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</si>
  <si>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</si>
  <si>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</si>
  <si>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</si>
  <si>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</si>
  <si>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</si>
  <si>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</si>
  <si>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</si>
  <si>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</si>
  <si>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</si>
  <si>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</si>
  <si>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</si>
  <si>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</si>
  <si>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</si>
  <si>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</si>
  <si>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</si>
  <si>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</si>
  <si>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</si>
  <si>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</si>
  <si>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</si>
  <si>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</si>
  <si>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</si>
  <si>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</si>
  <si>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</si>
  <si>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</si>
  <si>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</si>
  <si>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</si>
  <si>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</si>
  <si>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</si>
  <si>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</si>
  <si>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</si>
  <si>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</si>
  <si>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</si>
  <si>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</si>
  <si>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</si>
  <si>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</si>
  <si>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</si>
  <si>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</si>
  <si>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</si>
  <si>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</si>
  <si>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</si>
  <si>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</si>
  <si>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</si>
  <si>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</si>
  <si>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</si>
  <si>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</si>
  <si>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</si>
  <si>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</si>
  <si>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</si>
  <si>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</si>
  <si>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</si>
  <si>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</si>
  <si>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</si>
  <si>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</si>
  <si>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</si>
  <si>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</si>
  <si>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</si>
  <si>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</si>
  <si>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</si>
  <si>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</si>
  <si>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</si>
  <si>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</si>
  <si>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</si>
  <si>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</si>
  <si>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</si>
  <si>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</si>
  <si>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</si>
  <si>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</si>
  <si>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</si>
  <si>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</si>
  <si>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</si>
  <si>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</si>
  <si>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</si>
  <si>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</si>
  <si>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</si>
  <si>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</si>
  <si>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</si>
  <si>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</si>
  <si>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</si>
  <si>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</si>
  <si>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</si>
  <si>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</si>
  <si>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</si>
  <si>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</si>
  <si>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</si>
  <si>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</si>
  <si>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</si>
  <si>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</si>
  <si>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</si>
  <si>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</si>
  <si>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</si>
  <si>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</si>
  <si>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</si>
  <si>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</si>
  <si>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</si>
  <si>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</si>
  <si>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</si>
  <si>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</si>
  <si>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</si>
  <si>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</si>
  <si>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</si>
  <si>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</si>
  <si>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</si>
  <si>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</si>
  <si>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</si>
  <si>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</si>
  <si>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</si>
  <si>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</si>
  <si>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</si>
  <si>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</si>
  <si>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</si>
  <si>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</si>
  <si>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</si>
  <si>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</si>
  <si>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</si>
  <si>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</si>
  <si>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</si>
  <si>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</si>
  <si>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</si>
  <si>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</si>
  <si>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</si>
  <si>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</si>
  <si>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</si>
  <si>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</si>
  <si>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</si>
  <si>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</si>
  <si>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</si>
  <si>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</si>
  <si>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</si>
  <si>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</si>
  <si>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</si>
  <si>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</si>
  <si>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</si>
  <si>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</si>
  <si>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</si>
  <si>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</si>
  <si>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</si>
  <si>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</si>
  <si>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</si>
  <si>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</si>
  <si>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</si>
  <si>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</si>
  <si>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</si>
  <si>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</si>
  <si>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</si>
  <si>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</si>
  <si>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</si>
  <si>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</si>
  <si>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</si>
  <si>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</si>
  <si>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</si>
  <si>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</si>
  <si>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</si>
  <si>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</si>
  <si>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</si>
  <si>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</si>
  <si>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</si>
  <si>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</si>
  <si>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</si>
  <si>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</si>
  <si>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</si>
  <si>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</si>
  <si>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</si>
  <si>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</si>
  <si>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</si>
  <si>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</si>
  <si>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</si>
  <si>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</si>
  <si>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</si>
  <si>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</si>
  <si>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</si>
  <si>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</si>
  <si>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</si>
  <si>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</si>
  <si>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</si>
  <si>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</si>
  <si>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</si>
  <si>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</si>
  <si>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</si>
  <si>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</si>
  <si>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</si>
  <si>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</si>
  <si>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</si>
  <si>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</si>
  <si>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</si>
  <si>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</si>
  <si>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</si>
  <si>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</si>
  <si>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</si>
  <si>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</si>
  <si>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</si>
  <si>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</si>
  <si>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</si>
  <si>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</si>
  <si>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</si>
  <si>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</si>
  <si>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</si>
  <si>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</si>
  <si>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</si>
  <si>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</si>
  <si>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</si>
  <si>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</si>
  <si>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</si>
  <si>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</si>
  <si>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</si>
  <si>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</si>
  <si>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</si>
  <si>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</si>
  <si>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</si>
  <si>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</si>
  <si>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</si>
  <si>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</si>
  <si>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</si>
  <si>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</si>
  <si>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</si>
  <si>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</si>
  <si>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</si>
  <si>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</si>
  <si>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</si>
  <si>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</si>
  <si>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</si>
  <si>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</si>
  <si>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</si>
  <si>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</si>
  <si>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</si>
  <si>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</si>
  <si>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</si>
  <si>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</si>
  <si>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</si>
  <si>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</si>
  <si>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</si>
  <si>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</si>
  <si>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</si>
  <si>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</si>
  <si>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</si>
  <si>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</si>
  <si>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</si>
  <si>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</si>
  <si>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</si>
  <si>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</si>
  <si>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</si>
  <si>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</si>
  <si>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</si>
  <si>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</si>
  <si>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</si>
  <si>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</si>
  <si>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</si>
  <si>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</si>
  <si>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</si>
  <si>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</si>
  <si>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</si>
  <si>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</si>
  <si>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</si>
  <si>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</si>
  <si>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</si>
  <si>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</si>
  <si>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</si>
  <si>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</si>
  <si>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</si>
  <si>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</si>
  <si>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</si>
  <si>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</si>
  <si>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</si>
  <si>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</si>
  <si>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</si>
  <si>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</si>
  <si>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</si>
  <si>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</si>
  <si>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</si>
  <si>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</si>
  <si>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</si>
  <si>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</si>
  <si>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</si>
  <si>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</si>
  <si>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</si>
  <si>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</si>
  <si>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</si>
  <si>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</si>
  <si>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</si>
  <si>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</si>
  <si>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</si>
  <si>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</si>
  <si>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</si>
  <si>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</si>
  <si>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</si>
  <si>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</si>
  <si>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</si>
  <si>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</si>
  <si>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</si>
  <si>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</si>
  <si>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</si>
  <si>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</si>
  <si>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</si>
  <si>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</si>
  <si>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</si>
  <si>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</si>
  <si>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</si>
  <si>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</si>
  <si>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</si>
  <si>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</si>
  <si>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</si>
  <si>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</si>
  <si>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</si>
  <si>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</si>
  <si>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</si>
  <si>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</si>
  <si>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</si>
  <si>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</si>
  <si>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</si>
  <si>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</si>
  <si>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</si>
  <si>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</si>
  <si>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</si>
  <si>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</si>
  <si>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</si>
  <si>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</si>
  <si>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</si>
  <si>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</si>
  <si>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</si>
  <si>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</si>
  <si>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</si>
  <si>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</si>
  <si>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</si>
  <si>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</si>
  <si>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</si>
  <si>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</si>
  <si>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</si>
  <si>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</si>
  <si>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</si>
  <si>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</si>
  <si>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</si>
  <si>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</si>
  <si>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</si>
  <si>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</si>
  <si>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</si>
  <si>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</si>
  <si>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</si>
  <si>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</si>
  <si>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</si>
  <si>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</si>
  <si>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</si>
  <si>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</si>
  <si>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</si>
  <si>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</si>
  <si>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</si>
  <si>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</si>
  <si>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</si>
  <si>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</si>
  <si>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</si>
  <si>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</si>
  <si>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</si>
  <si>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</si>
  <si>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</si>
  <si>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</si>
  <si>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</si>
  <si>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</si>
  <si>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</si>
  <si>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</si>
  <si>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</si>
  <si>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</si>
  <si>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</si>
  <si>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</si>
  <si>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</si>
  <si>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</si>
  <si>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</si>
  <si>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</si>
  <si>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</si>
  <si>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</si>
  <si>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</si>
  <si>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</si>
  <si>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</si>
  <si>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</si>
  <si>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</si>
  <si>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</si>
  <si>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</si>
  <si>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</si>
  <si>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</si>
  <si>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</si>
  <si>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</si>
  <si>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</si>
  <si>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</si>
  <si>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</si>
  <si>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</si>
  <si>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</si>
  <si>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</si>
  <si>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</si>
  <si>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</si>
  <si>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</si>
  <si>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</si>
  <si>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</si>
  <si>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</si>
  <si>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</si>
  <si>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</si>
  <si>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</si>
  <si>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</si>
  <si>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</si>
  <si>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</si>
  <si>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</si>
  <si>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</si>
  <si>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</si>
  <si>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</si>
  <si>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</si>
  <si>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</si>
  <si>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</si>
  <si>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</si>
  <si>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</si>
  <si>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</si>
  <si>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</si>
  <si>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</si>
  <si>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</si>
  <si>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</si>
  <si>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</si>
  <si>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</si>
  <si>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</si>
  <si>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</si>
  <si>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</si>
  <si>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</si>
  <si>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</si>
  <si>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</si>
  <si>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</si>
  <si>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</si>
  <si>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</si>
  <si>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</si>
  <si>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</si>
  <si>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</si>
  <si>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</si>
  <si>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</si>
  <si>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</si>
  <si>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</si>
  <si>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</si>
  <si>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</si>
  <si>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</si>
  <si>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</si>
  <si>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</si>
  <si>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</si>
  <si>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</si>
  <si>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</si>
  <si>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</si>
  <si>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</si>
  <si>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</si>
  <si>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</si>
  <si>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</si>
  <si>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</si>
  <si>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</si>
  <si>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</si>
  <si>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</si>
  <si>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</si>
  <si>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</si>
  <si>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</si>
  <si>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</si>
  <si>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</si>
  <si>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</si>
  <si>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</si>
  <si>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</si>
  <si>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</si>
  <si>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</si>
  <si>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</si>
  <si>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</si>
  <si>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</si>
  <si>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</si>
  <si>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</si>
  <si>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</si>
  <si>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</si>
  <si>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</si>
  <si>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</si>
  <si>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</si>
  <si>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</si>
  <si>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</si>
  <si>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</si>
  <si>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</si>
  <si>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</si>
  <si>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</si>
  <si>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</si>
  <si>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</si>
  <si>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</si>
  <si>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</si>
  <si>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</si>
  <si>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</si>
  <si>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</si>
  <si>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</si>
  <si>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</si>
  <si>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</si>
  <si>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</si>
  <si>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</si>
  <si>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</si>
  <si>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</si>
  <si>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</si>
  <si>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</si>
  <si>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</si>
  <si>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</si>
  <si>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</si>
  <si>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</si>
  <si>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</si>
  <si>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</si>
  <si>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</si>
  <si>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</si>
  <si>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</si>
  <si>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</si>
  <si>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</si>
  <si>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</si>
  <si>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</si>
  <si>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</si>
  <si>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</si>
  <si>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</si>
  <si>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</si>
  <si>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</si>
  <si>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</si>
  <si>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</si>
  <si>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</si>
  <si>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</si>
  <si>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</si>
  <si>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</si>
  <si>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</si>
  <si>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</si>
  <si>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</si>
  <si>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</si>
  <si>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</si>
  <si>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</si>
  <si>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</si>
  <si>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</si>
  <si>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</si>
  <si>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</si>
  <si>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</si>
  <si>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</si>
  <si>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</si>
  <si>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</si>
  <si>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</si>
  <si>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</si>
  <si>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</si>
  <si>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</si>
  <si>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</si>
  <si>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</si>
  <si>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</si>
  <si>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</si>
  <si>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</si>
  <si>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</si>
  <si>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</si>
  <si>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</si>
  <si>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</si>
  <si>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</si>
  <si>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</si>
  <si>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</si>
  <si>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</si>
  <si>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</si>
  <si>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</si>
  <si>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</si>
  <si>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</si>
  <si>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</si>
  <si>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</si>
  <si>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</si>
  <si>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</si>
  <si>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</si>
  <si>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</si>
  <si>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</si>
  <si>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</si>
  <si>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</si>
  <si>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</si>
  <si>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</si>
  <si>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</si>
  <si>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</si>
  <si>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</si>
  <si>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</si>
  <si>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</si>
  <si>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</si>
  <si>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</si>
  <si>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</si>
  <si>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</si>
  <si>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</si>
  <si>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</si>
  <si>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</si>
  <si>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</si>
  <si>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</si>
  <si>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</si>
  <si>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</si>
  <si>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</si>
  <si>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</si>
  <si>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</si>
  <si>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</si>
  <si>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</si>
  <si>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</si>
  <si>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</si>
  <si>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</si>
  <si>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</si>
  <si>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</si>
  <si>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</si>
  <si>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</si>
  <si>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</si>
  <si>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</si>
  <si>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</si>
  <si>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</si>
  <si>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</si>
  <si>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</si>
  <si>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</si>
  <si>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</si>
  <si>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</si>
  <si>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</si>
  <si>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</si>
  <si>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</si>
  <si>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</si>
  <si>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</si>
  <si>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</si>
  <si>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</si>
  <si>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</si>
  <si>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</si>
  <si>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</si>
  <si>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</si>
  <si>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</si>
  <si>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</si>
  <si>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</si>
  <si>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</si>
  <si>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</si>
  <si>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</si>
  <si>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</si>
  <si>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</si>
  <si>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</si>
  <si>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</si>
  <si>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</si>
  <si>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</si>
  <si>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</si>
  <si>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</si>
  <si>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</si>
  <si>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</si>
  <si>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</si>
  <si>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</si>
  <si>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</si>
  <si>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</si>
  <si>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</si>
  <si>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</si>
  <si>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</si>
  <si>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</si>
  <si>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</si>
  <si>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</si>
  <si>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</si>
  <si>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</si>
  <si>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</si>
  <si>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</si>
  <si>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</si>
  <si>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</si>
  <si>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</si>
  <si>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</si>
  <si>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</si>
  <si>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</si>
  <si>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</si>
  <si>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</si>
  <si>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</si>
  <si>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</si>
  <si>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</si>
  <si>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</si>
  <si>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</si>
  <si>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</si>
  <si>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</si>
  <si>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</si>
  <si>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</si>
  <si>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</si>
  <si>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</si>
  <si>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</si>
  <si>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</si>
  <si>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</si>
  <si>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</si>
  <si>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</si>
  <si>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</si>
  <si>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</si>
  <si>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</si>
  <si>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</si>
  <si>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</si>
  <si>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</si>
  <si>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</si>
  <si>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</si>
  <si>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</si>
  <si>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</si>
  <si>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</si>
  <si>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</si>
  <si>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</si>
  <si>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</si>
  <si>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</si>
  <si>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</si>
  <si>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</si>
  <si>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</si>
  <si>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</si>
  <si>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</si>
  <si>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</si>
  <si>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</si>
  <si>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</si>
  <si>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</si>
  <si>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</si>
  <si>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</si>
  <si>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</si>
  <si>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</si>
  <si>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</si>
  <si>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</si>
  <si>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</si>
  <si>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</si>
  <si>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</si>
  <si>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</si>
  <si>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</si>
  <si>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</si>
  <si>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</si>
  <si>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</si>
  <si>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</si>
  <si>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</si>
  <si>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</si>
  <si>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</si>
  <si>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</si>
  <si>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</si>
  <si>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</si>
  <si>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</si>
  <si>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</si>
  <si>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</si>
  <si>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</si>
  <si>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</si>
  <si>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</si>
  <si>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</si>
  <si>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</si>
  <si>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</si>
  <si>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</si>
  <si>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</si>
  <si>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</si>
  <si>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</si>
  <si>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</si>
  <si>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</si>
  <si>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</si>
  <si>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</si>
  <si>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</si>
  <si>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</si>
  <si>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</si>
  <si>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</si>
  <si>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</si>
  <si>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</si>
  <si>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</si>
  <si>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</si>
  <si>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</si>
  <si>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</si>
  <si>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</si>
  <si>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</si>
  <si>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</si>
  <si>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</si>
  <si>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</si>
  <si>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</si>
  <si>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</si>
  <si>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</si>
  <si>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</si>
  <si>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</si>
  <si>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</si>
  <si>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</si>
  <si>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</si>
  <si>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</si>
  <si>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</si>
  <si>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</si>
  <si>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</si>
  <si>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</si>
  <si>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</si>
  <si>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</si>
  <si>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</si>
  <si>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</si>
  <si>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</si>
  <si>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</si>
  <si>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</si>
  <si>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</si>
  <si>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</si>
  <si>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</si>
  <si>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</si>
  <si>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</si>
  <si>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</si>
  <si>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</si>
  <si>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</si>
  <si>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</si>
  <si>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</si>
  <si>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</si>
  <si>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</si>
  <si>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</si>
  <si>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</si>
  <si>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</si>
  <si>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</si>
  <si>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</si>
  <si>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</si>
  <si>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</si>
  <si>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</si>
  <si>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</si>
  <si>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</si>
  <si>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</si>
  <si>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</si>
  <si>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</si>
  <si>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</si>
  <si>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</si>
  <si>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</si>
  <si>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</si>
  <si>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</si>
  <si>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</si>
  <si>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</si>
  <si>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</si>
  <si>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</si>
  <si>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</si>
  <si>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</si>
  <si>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</si>
  <si>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</si>
  <si>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</si>
  <si>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</si>
  <si>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</si>
  <si>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</si>
  <si>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</si>
  <si>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</si>
  <si>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</si>
  <si>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</si>
  <si>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</si>
  <si>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</si>
  <si>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</si>
  <si>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</si>
  <si>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</si>
  <si>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</si>
  <si>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Published on SCO website in June 2024 for use for reporting periods 2023-2024 and afterwards.</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</si>
  <si>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</si>
  <si>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</si>
  <si>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</si>
  <si>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</si>
  <si>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</si>
  <si>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</si>
  <si>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</si>
  <si>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</si>
  <si>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</si>
  <si>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</si>
  <si>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</si>
  <si>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</si>
  <si>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</si>
  <si>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</si>
  <si>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</si>
  <si>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</si>
  <si>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</si>
  <si>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</si>
  <si>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</si>
  <si>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</si>
  <si>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</si>
  <si>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</si>
  <si>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</si>
  <si>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</si>
  <si>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</si>
  <si>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</si>
  <si>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</si>
  <si>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</si>
  <si>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</si>
  <si>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</si>
  <si>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</si>
  <si>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</si>
  <si>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</si>
  <si>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State Personnel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</si>
</sst>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15"/>
  <sheetViews>
    <sheetView zoomScale="90" zoomScaleNormal="90" workbookViewId="0">
      <pane ySplit="10" topLeftCell="A11" activePane="bottomLeft" state="frozen"/>
      <selection activeCell="H56" sqref="H56"/>
      <selection pane="bottomLeft" activeCell="A3" sqref="A1:B1048576"/>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1780</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1767</v>
      </c>
      <c r="C11" s="240" t="s">
        <v>1729</v>
      </c>
      <c r="D11" s="240" t="s">
        <v>1766</v>
      </c>
      <c r="E11" s="240" t="s">
        <v>1784</v>
      </c>
      <c r="F11" s="240" t="s">
        <v>1785</v>
      </c>
    </row>
    <row r="12" spans="1:6" ht="42.75" x14ac:dyDescent="0.25">
      <c r="A12" s="240" t="s">
        <v>1731</v>
      </c>
      <c r="B12" s="240" t="s">
        <v>1768</v>
      </c>
      <c r="C12" s="240" t="s">
        <v>1769</v>
      </c>
      <c r="D12" s="240" t="s">
        <v>1769</v>
      </c>
      <c r="E12" s="240" t="s">
        <v>1770</v>
      </c>
      <c r="F12" s="240" t="s">
        <v>1786</v>
      </c>
    </row>
    <row r="13" spans="1:6" ht="28.5" x14ac:dyDescent="0.25">
      <c r="A13" s="240" t="s">
        <v>1771</v>
      </c>
      <c r="B13" s="240" t="s">
        <v>1775</v>
      </c>
      <c r="C13" s="240" t="s">
        <v>1772</v>
      </c>
      <c r="D13" s="240" t="s">
        <v>1772</v>
      </c>
      <c r="E13" s="240" t="s">
        <v>1773</v>
      </c>
      <c r="F13" s="240" t="s">
        <v>1774</v>
      </c>
    </row>
    <row r="14" spans="1:6" ht="42.75" x14ac:dyDescent="0.25">
      <c r="A14" s="240" t="s">
        <v>1732</v>
      </c>
      <c r="B14" s="240" t="s">
        <v>1776</v>
      </c>
      <c r="C14" s="240" t="s">
        <v>1729</v>
      </c>
      <c r="D14" s="240" t="s">
        <v>1777</v>
      </c>
      <c r="E14" s="240" t="s">
        <v>1778</v>
      </c>
      <c r="F14" s="240" t="s">
        <v>1779</v>
      </c>
    </row>
    <row r="15" spans="1:6" ht="85.5" x14ac:dyDescent="0.25">
      <c r="A15" s="240" t="s">
        <v>1732</v>
      </c>
      <c r="B15" s="240" t="s">
        <v>1781</v>
      </c>
      <c r="C15" s="240" t="s">
        <v>1769</v>
      </c>
      <c r="D15" s="240" t="s">
        <v>1769</v>
      </c>
      <c r="E15" s="240" t="s">
        <v>1782</v>
      </c>
      <c r="F15" s="240" t="s">
        <v>1783</v>
      </c>
    </row>
  </sheetData>
  <sheetProtection algorithmName="SHA-512" hashValue="QaJR9FfWrmk5gKxHycxt7VoHeRvmaYghC8i98jH7ek0C8V8C9eRd7M3aH8pFGnYDf6BHztEkMFYPsx5xSHxArw==" saltValue="ujH+dLa9CJRQwCSs9ma9f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T193"/>
  <sheetViews>
    <sheetView tabSelected="1" topLeftCell="A18" zoomScale="70" zoomScaleNormal="70" workbookViewId="0">
      <selection activeCell="K59" sqref="K5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1799</v>
      </c>
      <c r="G4" s="266"/>
      <c r="H4" s="266"/>
      <c r="I4" s="266"/>
    </row>
    <row r="5" spans="1:20" ht="16.5" customHeight="1" x14ac:dyDescent="0.2">
      <c r="A5" s="264" t="s">
        <v>1639</v>
      </c>
      <c r="B5" s="264"/>
      <c r="C5" s="264"/>
      <c r="D5" s="264"/>
      <c r="E5" s="264"/>
      <c r="F5" s="266" t="s">
        <v>1239</v>
      </c>
      <c r="G5" s="266"/>
      <c r="H5" s="266"/>
      <c r="I5" s="266"/>
      <c r="L5" s="39"/>
      <c r="M5" s="39"/>
      <c r="N5" s="39"/>
      <c r="O5" s="39"/>
      <c r="P5" s="39"/>
      <c r="Q5" s="39"/>
    </row>
    <row r="6" spans="1:20" ht="16.5" customHeight="1" x14ac:dyDescent="0.25">
      <c r="A6" s="264" t="s">
        <v>1682</v>
      </c>
      <c r="B6" s="264"/>
      <c r="C6" s="264"/>
      <c r="D6" s="264"/>
      <c r="E6" s="264"/>
      <c r="F6" s="267">
        <v>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P16-M16</f>
        <v>0</v>
      </c>
      <c r="T16" s="251" t="s">
        <v>1760</v>
      </c>
    </row>
    <row r="17" spans="1:20" ht="16.5" customHeight="1" x14ac:dyDescent="0.25">
      <c r="A17" s="228" t="s">
        <v>1689</v>
      </c>
      <c r="B17" s="26" t="s">
        <v>182</v>
      </c>
      <c r="C17" s="26"/>
      <c r="D17" s="26"/>
      <c r="E17" s="193"/>
      <c r="F17" s="194"/>
      <c r="G17" s="194"/>
      <c r="H17" s="195"/>
      <c r="I17" s="195"/>
      <c r="J17" s="248">
        <f>M17</f>
        <v>149405</v>
      </c>
      <c r="M17" s="196">
        <f>279908-130503</f>
        <v>149405</v>
      </c>
      <c r="P17" s="196">
        <v>149405</v>
      </c>
      <c r="Q17" s="224"/>
      <c r="S17" s="223">
        <f>P17-M17</f>
        <v>0</v>
      </c>
      <c r="T17" s="251" t="s">
        <v>1760</v>
      </c>
    </row>
    <row r="18" spans="1:20" ht="16.5" customHeight="1" x14ac:dyDescent="0.25">
      <c r="A18" s="99"/>
      <c r="B18" s="26" t="s">
        <v>178</v>
      </c>
      <c r="C18" s="26"/>
      <c r="D18" s="26"/>
      <c r="E18" s="193"/>
      <c r="F18" s="194"/>
      <c r="G18" s="194"/>
      <c r="H18" s="195"/>
      <c r="I18" s="195"/>
      <c r="J18" s="248">
        <f>P18</f>
        <v>33</v>
      </c>
      <c r="M18" s="196">
        <v>33</v>
      </c>
      <c r="P18" s="221">
        <f>IF(SUM($Q$20:$Q$23)&gt;SUM($P$15:$P$17),SUM($Q$20:$Q$23)-SUM($P$15:$P$17),0)</f>
        <v>33</v>
      </c>
      <c r="Q18" s="224"/>
      <c r="S18" s="223">
        <f>P18-M18</f>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P19-M19</f>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 t="shared" ref="S20:S25" si="0">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 t="shared" si="0"/>
        <v>0</v>
      </c>
      <c r="T21" s="250" t="s">
        <v>1730</v>
      </c>
    </row>
    <row r="22" spans="1:20" ht="16.5" customHeight="1" x14ac:dyDescent="0.25">
      <c r="A22" s="99"/>
      <c r="B22" s="26"/>
      <c r="C22" s="26" t="s">
        <v>188</v>
      </c>
      <c r="D22" s="26"/>
      <c r="E22" s="193"/>
      <c r="F22" s="194"/>
      <c r="G22" s="194"/>
      <c r="H22" s="195"/>
      <c r="I22" s="195"/>
      <c r="J22" s="213"/>
      <c r="K22" s="248">
        <f>N22</f>
        <v>132805</v>
      </c>
      <c r="N22" s="196">
        <v>132805</v>
      </c>
      <c r="P22" s="224"/>
      <c r="Q22" s="196">
        <v>132805</v>
      </c>
      <c r="S22" s="223">
        <f t="shared" si="0"/>
        <v>0</v>
      </c>
      <c r="T22" s="250" t="s">
        <v>1730</v>
      </c>
    </row>
    <row r="23" spans="1:20" ht="16.5" customHeight="1" x14ac:dyDescent="0.25">
      <c r="A23" s="234" t="s">
        <v>1697</v>
      </c>
      <c r="B23" s="26"/>
      <c r="C23" s="26" t="s">
        <v>183</v>
      </c>
      <c r="D23" s="26"/>
      <c r="E23" s="193"/>
      <c r="F23" s="194"/>
      <c r="G23" s="194"/>
      <c r="H23" s="195"/>
      <c r="I23" s="195"/>
      <c r="J23" s="213"/>
      <c r="K23" s="248">
        <f>N23</f>
        <v>16633</v>
      </c>
      <c r="N23" s="196">
        <v>16633</v>
      </c>
      <c r="P23" s="224"/>
      <c r="Q23" s="196">
        <v>16633</v>
      </c>
      <c r="S23" s="223">
        <f t="shared" si="0"/>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0"/>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0"/>
        <v>0</v>
      </c>
      <c r="T25" s="250" t="s">
        <v>1730</v>
      </c>
    </row>
    <row r="26" spans="1:20" ht="16.5" customHeight="1" x14ac:dyDescent="0.25">
      <c r="A26" s="99"/>
      <c r="C26" s="47"/>
      <c r="D26" s="47"/>
      <c r="E26" s="47"/>
      <c r="F26" s="179"/>
      <c r="G26" s="179"/>
      <c r="H26" s="49"/>
      <c r="I26" s="49"/>
      <c r="J26" s="155">
        <f>SUM(J15:J25)</f>
        <v>149438</v>
      </c>
      <c r="K26" s="155">
        <f>SUM(K15:K25)</f>
        <v>149438</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16600</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16600</v>
      </c>
    </row>
    <row r="59" spans="1:16" ht="16.5" customHeight="1" x14ac:dyDescent="0.25">
      <c r="A59" s="99"/>
      <c r="C59" s="43"/>
      <c r="D59" s="43"/>
      <c r="E59" s="43"/>
      <c r="F59" s="44"/>
      <c r="G59" s="44"/>
      <c r="H59" s="45"/>
      <c r="I59" s="45"/>
      <c r="J59" s="155">
        <f>SUM(J55:J58)</f>
        <v>16600</v>
      </c>
      <c r="K59" s="155">
        <f>SUM(K55:K58)</f>
        <v>16600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16633</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16639</v>
      </c>
    </row>
    <row r="65" spans="1:12" ht="16.5" customHeight="1" x14ac:dyDescent="0.25">
      <c r="A65" s="99"/>
      <c r="C65" s="43"/>
      <c r="D65" s="43"/>
      <c r="E65" s="43"/>
      <c r="F65" s="44"/>
      <c r="G65" s="44"/>
      <c r="H65" s="45"/>
      <c r="I65" s="45"/>
      <c r="J65" s="155">
        <f>SUM(J62:J64)</f>
        <v>16639</v>
      </c>
      <c r="K65" s="155">
        <f>SUM(K62:K64)</f>
        <v>16639</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16633</v>
      </c>
      <c r="K68" s="197"/>
    </row>
    <row r="69" spans="1:12" ht="16.5" customHeight="1" x14ac:dyDescent="0.25">
      <c r="A69" s="99"/>
      <c r="B69" s="26"/>
      <c r="C69" s="26" t="s">
        <v>202</v>
      </c>
      <c r="D69" s="193"/>
      <c r="E69" s="193"/>
      <c r="F69" s="194"/>
      <c r="G69" s="194"/>
      <c r="H69" s="195"/>
      <c r="I69" s="195"/>
      <c r="J69" s="197"/>
      <c r="K69" s="196">
        <v>16633</v>
      </c>
      <c r="L69" s="37" t="str">
        <f>IF($J$62=$K$69,"","&lt;- Accts 0848 must agree")</f>
        <v/>
      </c>
    </row>
    <row r="70" spans="1:12" ht="16.5" customHeight="1" x14ac:dyDescent="0.25">
      <c r="A70" s="99"/>
      <c r="C70" s="43"/>
      <c r="D70" s="43"/>
      <c r="E70" s="43"/>
      <c r="F70" s="44"/>
      <c r="G70" s="44"/>
      <c r="H70" s="45"/>
      <c r="I70" s="45"/>
      <c r="J70" s="155">
        <f>SUM(J68:J69)</f>
        <v>16633</v>
      </c>
      <c r="K70" s="155">
        <f>SUM(K68:K69)</f>
        <v>16633</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0</v>
      </c>
      <c r="K75" s="197"/>
    </row>
    <row r="76" spans="1:12" ht="16.5" customHeight="1" x14ac:dyDescent="0.25">
      <c r="A76" s="99"/>
      <c r="B76" s="26"/>
      <c r="C76" s="26" t="s">
        <v>210</v>
      </c>
      <c r="D76" s="193"/>
      <c r="E76" s="193"/>
      <c r="F76" s="194"/>
      <c r="G76" s="194"/>
      <c r="H76" s="195"/>
      <c r="I76" s="195"/>
      <c r="J76" s="197"/>
      <c r="K76" s="196">
        <v>0</v>
      </c>
    </row>
    <row r="77" spans="1:12" ht="16.5" customHeight="1" x14ac:dyDescent="0.2">
      <c r="A77" s="99"/>
      <c r="B77" s="262" t="s">
        <v>1737</v>
      </c>
      <c r="C77" s="262"/>
      <c r="D77" s="262"/>
      <c r="E77" s="262"/>
      <c r="F77" s="262"/>
      <c r="G77" s="262"/>
      <c r="H77" s="262"/>
      <c r="I77" s="262"/>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149405</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149405</v>
      </c>
    </row>
    <row r="91" spans="1:16" ht="16.5" customHeight="1" x14ac:dyDescent="0.25">
      <c r="B91" s="182" t="s">
        <v>1692</v>
      </c>
      <c r="H91" s="37"/>
      <c r="J91" s="156">
        <f>SUM(J85:J90)</f>
        <v>149405</v>
      </c>
      <c r="K91" s="156">
        <f>SUM(K85:K90)</f>
        <v>149405</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B14" sqref="B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7503</v>
      </c>
      <c r="C9" s="282"/>
      <c r="D9" s="5"/>
      <c r="E9" s="5"/>
      <c r="F9" s="5"/>
    </row>
    <row r="10" spans="1:13" ht="15.75" x14ac:dyDescent="0.25">
      <c r="A10" s="12" t="s">
        <v>208</v>
      </c>
      <c r="B10" s="283" t="s">
        <v>1799</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0</v>
      </c>
      <c r="C13" s="100">
        <v>0</v>
      </c>
      <c r="D13" s="272" t="s">
        <v>6</v>
      </c>
      <c r="E13" s="273"/>
      <c r="F13" s="273"/>
      <c r="G13" s="57"/>
      <c r="H13" s="57"/>
      <c r="I13" s="57"/>
      <c r="J13" s="57"/>
      <c r="K13" s="57"/>
      <c r="L13" s="57"/>
      <c r="M13" s="57"/>
    </row>
    <row r="14" spans="1:13" x14ac:dyDescent="0.2">
      <c r="A14" s="84" t="str">
        <f>LEFT(A13,4)+1&amp;"–"&amp;RIGHT(A13,4)+1</f>
        <v>2025–2026</v>
      </c>
      <c r="B14" s="100"/>
      <c r="C14" s="100"/>
      <c r="D14" s="272"/>
      <c r="E14" s="273"/>
      <c r="F14" s="273"/>
    </row>
    <row r="15" spans="1:13" ht="15.75" x14ac:dyDescent="0.2">
      <c r="A15" s="84" t="str">
        <f>LEFT(A14,4)+1&amp;"–"&amp;RIGHT(A14,4)+1</f>
        <v>2026–2027</v>
      </c>
      <c r="B15" s="100"/>
      <c r="C15" s="100"/>
      <c r="D15" s="269" t="s">
        <v>130</v>
      </c>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7503</v>
      </c>
      <c r="C40" s="278"/>
      <c r="E40" s="60"/>
    </row>
    <row r="41" spans="1:13" ht="15.75" x14ac:dyDescent="0.25">
      <c r="A41" s="12" t="s">
        <v>208</v>
      </c>
      <c r="B41" s="276" t="str">
        <f>B10</f>
        <v>State Personnel Board</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7503</v>
      </c>
      <c r="C71" s="278"/>
    </row>
    <row r="72" spans="1:13" ht="15.75" x14ac:dyDescent="0.25">
      <c r="A72" s="12" t="s">
        <v>208</v>
      </c>
      <c r="B72" s="276" t="str">
        <f>B10</f>
        <v>State Personnel Board</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XSZSM0LehxAfQZfouuGJYqTtjJ8vLJq4OUC6OyMo/ZGzcfLZ+uiP9owp6xF2KtS7f/AG9B4gm/XjvNjvbtHNIg==" saltValue="3sFDqPvHgWguT5QmKsLps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3"/>
  <sheetViews>
    <sheetView zoomScale="80" zoomScaleNormal="80" workbookViewId="0">
      <selection activeCell="F10" sqref="F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7503 - State Personnel Board</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f>
        <v>16633</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16633</v>
      </c>
      <c r="K10" s="103"/>
      <c r="L10" s="109">
        <f>SUM(F10+H10-J10)</f>
        <v>0</v>
      </c>
      <c r="M10" s="103"/>
      <c r="N10" s="107">
        <f>IF('LS-Fund 0001 Journal Entries'!$F$8="Governmental Fund",'LS-Fund 0001 Journal Entries'!$K$76,0)</f>
        <v>0</v>
      </c>
      <c r="O10" s="103"/>
      <c r="P10" s="109">
        <f>L10-N10</f>
        <v>0</v>
      </c>
      <c r="Q10" s="71"/>
    </row>
    <row r="11" spans="2:17" ht="19.5" thickTop="1" thickBot="1" x14ac:dyDescent="0.3">
      <c r="B11" s="69"/>
      <c r="C11" s="73" t="s">
        <v>21</v>
      </c>
      <c r="F11" s="108">
        <f>SUM(F10:F10)</f>
        <v>16633</v>
      </c>
      <c r="G11" s="103"/>
      <c r="H11" s="108">
        <f>SUM(H10:H10)</f>
        <v>0</v>
      </c>
      <c r="I11" s="103"/>
      <c r="J11" s="108">
        <f>SUM(J10:J10)</f>
        <v>16633</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6" sqref="L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16633</v>
      </c>
      <c r="C16" s="168" t="s">
        <v>155</v>
      </c>
      <c r="D16" s="130">
        <f>IF('LS-Fund 0001 Journal Entries'!$F$8="Governmental Fund",'LS-Fund 0001 Journal Entries'!$K$48,0)</f>
        <v>0</v>
      </c>
      <c r="E16" s="170" t="s">
        <v>156</v>
      </c>
      <c r="F16" s="130">
        <f>IF('LS-Fund 0001 Journal Entries'!$F$8="Governmental Fund",'LS-Fund 0001 Journal Entries'!$J$68,0)</f>
        <v>16633</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16633</v>
      </c>
      <c r="J66" s="143">
        <f>SUM(D66)</f>
        <v>16633</v>
      </c>
      <c r="L66" s="144" t="str">
        <f>CONCATENATE("Balance July 1, ",LEFT('LS-Department Note Disclosure'!$B$8,4))</f>
        <v>Balance July 1, 2023</v>
      </c>
      <c r="N66" s="143">
        <f>'LS-Lease Liabilities'!F10</f>
        <v>16633</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J67-N67</f>
        <v>0</v>
      </c>
    </row>
    <row r="68" spans="1:17" x14ac:dyDescent="0.25">
      <c r="B68" s="125" t="s">
        <v>161</v>
      </c>
      <c r="D68" s="143">
        <f>$F$16</f>
        <v>16633</v>
      </c>
      <c r="E68" s="171" t="s">
        <v>155</v>
      </c>
      <c r="F68" s="125" t="s">
        <v>1750</v>
      </c>
      <c r="H68" s="143">
        <f>$H$16</f>
        <v>0</v>
      </c>
      <c r="J68" s="143">
        <f>SUM(D68,H68)</f>
        <v>16633</v>
      </c>
      <c r="L68" s="144" t="s">
        <v>15</v>
      </c>
      <c r="N68" s="143">
        <f>'LS-Lease Liabilities'!J10</f>
        <v>16633</v>
      </c>
      <c r="P68" s="135">
        <f>J68-N68</f>
        <v>0</v>
      </c>
    </row>
    <row r="69" spans="1:17" x14ac:dyDescent="0.25">
      <c r="B69" s="125" t="s">
        <v>165</v>
      </c>
      <c r="D69" s="143">
        <f>$B$42</f>
        <v>0</v>
      </c>
      <c r="J69" s="143">
        <f>SUM(D69)</f>
        <v>0</v>
      </c>
      <c r="L69" s="144" t="s">
        <v>16</v>
      </c>
      <c r="N69" s="143">
        <f>'LS-Lease Liabilities'!N10</f>
        <v>0</v>
      </c>
      <c r="P69" s="135">
        <f>J69-N69</f>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J78-N78</f>
        <v>0</v>
      </c>
    </row>
    <row r="79" spans="1:17" x14ac:dyDescent="0.25">
      <c r="B79" s="125" t="s">
        <v>161</v>
      </c>
      <c r="D79" s="143">
        <f>F24</f>
        <v>0</v>
      </c>
      <c r="E79" s="171" t="s">
        <v>155</v>
      </c>
      <c r="F79" s="125" t="s">
        <v>1750</v>
      </c>
      <c r="H79" s="143">
        <f>$H$24</f>
        <v>0</v>
      </c>
      <c r="J79" s="143">
        <f>SUM(D79,H79)</f>
        <v>0</v>
      </c>
      <c r="L79" s="144" t="s">
        <v>15</v>
      </c>
      <c r="N79" s="143">
        <f>'LS-Lease Liabilities'!J14</f>
        <v>0</v>
      </c>
      <c r="P79" s="135">
        <f>J79-N79</f>
        <v>0</v>
      </c>
    </row>
    <row r="80" spans="1:17" x14ac:dyDescent="0.25">
      <c r="B80" s="125" t="s">
        <v>165</v>
      </c>
      <c r="D80" s="143">
        <f>B49</f>
        <v>0</v>
      </c>
      <c r="J80" s="143">
        <f>SUM(D80)</f>
        <v>0</v>
      </c>
      <c r="L80" s="144" t="s">
        <v>16</v>
      </c>
      <c r="N80" s="143">
        <f>'LS-Lease Liabilities'!N14</f>
        <v>0</v>
      </c>
      <c r="P80" s="135">
        <f>J80-N80</f>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J89-N89</f>
        <v>0</v>
      </c>
    </row>
    <row r="90" spans="2:16" x14ac:dyDescent="0.25">
      <c r="B90" s="125" t="s">
        <v>161</v>
      </c>
      <c r="D90" s="143">
        <f>F33</f>
        <v>0</v>
      </c>
      <c r="E90" s="171" t="s">
        <v>155</v>
      </c>
      <c r="F90" s="125" t="s">
        <v>1750</v>
      </c>
      <c r="H90" s="143">
        <f>$H$33</f>
        <v>0</v>
      </c>
      <c r="J90" s="143">
        <f>SUM(D90,H90)</f>
        <v>0</v>
      </c>
      <c r="L90" s="144" t="s">
        <v>15</v>
      </c>
      <c r="N90" s="143">
        <f>'LS-Lease Liabilities'!J18</f>
        <v>0</v>
      </c>
      <c r="P90" s="135">
        <f>J90-N90</f>
        <v>0</v>
      </c>
    </row>
    <row r="91" spans="2:16" x14ac:dyDescent="0.25">
      <c r="B91" s="125" t="s">
        <v>165</v>
      </c>
      <c r="D91" s="143">
        <f>B57</f>
        <v>0</v>
      </c>
      <c r="J91" s="143">
        <f>SUM(D91)</f>
        <v>0</v>
      </c>
      <c r="L91" s="144" t="s">
        <v>16</v>
      </c>
      <c r="N91" s="143">
        <f>'LS-Lease Liabilities'!N18</f>
        <v>0</v>
      </c>
      <c r="P91" s="135">
        <f>J91-N91</f>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14"/>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1787</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1767</v>
      </c>
      <c r="C11" s="240" t="s">
        <v>1729</v>
      </c>
      <c r="D11" s="240" t="s">
        <v>1796</v>
      </c>
      <c r="E11" s="240" t="s">
        <v>1784</v>
      </c>
      <c r="F11" s="240" t="s">
        <v>1785</v>
      </c>
    </row>
    <row r="12" spans="1:6" ht="42.75" x14ac:dyDescent="0.25">
      <c r="A12" s="240" t="s">
        <v>1736</v>
      </c>
      <c r="B12" s="240" t="s">
        <v>1768</v>
      </c>
      <c r="C12" s="240" t="s">
        <v>1769</v>
      </c>
      <c r="D12" s="240" t="s">
        <v>1769</v>
      </c>
      <c r="E12" s="240" t="s">
        <v>1788</v>
      </c>
      <c r="F12" s="240" t="s">
        <v>1786</v>
      </c>
    </row>
    <row r="13" spans="1:6" ht="28.5" x14ac:dyDescent="0.25">
      <c r="A13" s="240" t="s">
        <v>1736</v>
      </c>
      <c r="B13" s="240" t="s">
        <v>1793</v>
      </c>
      <c r="C13" s="240" t="s">
        <v>1790</v>
      </c>
      <c r="D13" s="240" t="s">
        <v>1790</v>
      </c>
      <c r="E13" s="240" t="s">
        <v>1791</v>
      </c>
      <c r="F13" s="240" t="s">
        <v>1792</v>
      </c>
    </row>
    <row r="14" spans="1:6" ht="28.5" x14ac:dyDescent="0.25">
      <c r="A14" s="240" t="s">
        <v>1771</v>
      </c>
      <c r="B14" s="240" t="s">
        <v>1775</v>
      </c>
      <c r="C14" s="240" t="s">
        <v>1789</v>
      </c>
      <c r="D14" s="240" t="s">
        <v>1789</v>
      </c>
      <c r="E14" s="240" t="s">
        <v>1773</v>
      </c>
      <c r="F14" s="240" t="s">
        <v>1774</v>
      </c>
    </row>
  </sheetData>
  <sheetProtection algorithmName="SHA-512" hashValue="JqZpY6cErXmktBZyPEZzVeqk4bmhUQo3x7WnhLnCNtxjI0tBMn0UJF2Ll0LKoh1xu6oyyNPTohe8etFC68+zrw==" saltValue="DqmKCy7XaHkqX7ux/F6Qbw=="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Q18-N18</f>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Q19-N19</f>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HMHkdNQSROK0DlJ2r7G/B+ObMg4REuQpv9GcJuPEmZvdoidvvr/lhp9wHwswum5qlfCc96rP9q7Sp2r3n2hQVw==" saltValue="QvKSA73f4H87pIXmfy2/t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23</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71"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71"/>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2022–2023</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71" t="s">
        <v>218</v>
      </c>
    </row>
    <row r="46" spans="1:19" x14ac:dyDescent="0.2">
      <c r="A46" s="84" t="str">
        <f>LEFT(A45,4)+1&amp;"–"&amp;RIGHT(A45,4)+1</f>
        <v>2024–2025</v>
      </c>
      <c r="B46" s="2"/>
      <c r="C46" s="2"/>
      <c r="D46" s="62"/>
      <c r="E46" s="271"/>
    </row>
    <row r="47" spans="1:19" x14ac:dyDescent="0.2">
      <c r="A47" s="84" t="str">
        <f>LEFT(A46,4)+1&amp;"–"&amp;RIGHT(A46,4)+1</f>
        <v>2025–2026</v>
      </c>
      <c r="B47" s="2"/>
      <c r="C47" s="2"/>
      <c r="D47" s="62"/>
      <c r="E47" s="271"/>
    </row>
    <row r="48" spans="1:19" ht="15" customHeight="1" x14ac:dyDescent="0.2">
      <c r="A48" s="84" t="str">
        <f>LEFT(A47,4)+1&amp;"–"&amp;RIGHT(A47,4)+1</f>
        <v>2026–2027</v>
      </c>
      <c r="B48" s="2"/>
      <c r="C48" s="2"/>
      <c r="D48" s="87"/>
      <c r="E48" s="271"/>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71"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71"/>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148</v>
      </c>
    </row>
    <row r="71" spans="1:19" ht="15.75" x14ac:dyDescent="0.25">
      <c r="A71" s="12" t="s">
        <v>12</v>
      </c>
      <c r="B71" s="276" t="str">
        <f>B40</f>
        <v>2022–2023</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71" t="s">
        <v>218</v>
      </c>
    </row>
    <row r="77" spans="1:19" x14ac:dyDescent="0.2">
      <c r="A77" s="84" t="str">
        <f>LEFT(A76,4)+1&amp;"–"&amp;RIGHT(A76,4)+1</f>
        <v>2024–2025</v>
      </c>
      <c r="B77" s="2"/>
      <c r="C77" s="2"/>
      <c r="D77" s="62"/>
      <c r="E77" s="271"/>
    </row>
    <row r="78" spans="1:19" x14ac:dyDescent="0.2">
      <c r="A78" s="84" t="str">
        <f>LEFT(A77,4)+1&amp;"–"&amp;RIGHT(A77,4)+1</f>
        <v>2025–2026</v>
      </c>
      <c r="B78" s="2"/>
      <c r="C78" s="2"/>
      <c r="D78" s="62"/>
      <c r="E78" s="271"/>
    </row>
    <row r="79" spans="1:19" x14ac:dyDescent="0.2">
      <c r="A79" s="84" t="str">
        <f>LEFT(A78,4)+1&amp;"–"&amp;RIGHT(A78,4)+1</f>
        <v>2026–2027</v>
      </c>
      <c r="B79" s="2"/>
      <c r="C79" s="2"/>
      <c r="D79" s="87"/>
      <c r="E79" s="271"/>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71"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71"/>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ecD8CjzSnTF3MYgboK1lWzJSDXEqHCwIwT94XL+bDNTLu0FZ0a80m128JH1cRpLUj3W+iKsrTlYarIfHFuRw+A==" saltValue="FOvaZCEMbOIqtFjsFfjNA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1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1794</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1767</v>
      </c>
      <c r="C11" s="240" t="s">
        <v>1729</v>
      </c>
      <c r="D11" s="240" t="s">
        <v>1766</v>
      </c>
      <c r="E11" s="240" t="s">
        <v>1784</v>
      </c>
      <c r="F11" s="240" t="s">
        <v>1785</v>
      </c>
    </row>
    <row r="12" spans="1:6" ht="42.75" x14ac:dyDescent="0.25">
      <c r="A12" s="240" t="s">
        <v>1734</v>
      </c>
      <c r="B12" s="240" t="s">
        <v>1768</v>
      </c>
      <c r="C12" s="240" t="s">
        <v>1769</v>
      </c>
      <c r="D12" s="240" t="s">
        <v>1769</v>
      </c>
      <c r="E12" s="240" t="s">
        <v>1770</v>
      </c>
      <c r="F12" s="240" t="s">
        <v>1786</v>
      </c>
    </row>
    <row r="13" spans="1:6" ht="42.75" x14ac:dyDescent="0.25">
      <c r="A13" s="240" t="s">
        <v>1735</v>
      </c>
      <c r="B13" s="240" t="s">
        <v>1797</v>
      </c>
      <c r="C13" s="240" t="s">
        <v>1729</v>
      </c>
      <c r="D13" s="240" t="s">
        <v>1777</v>
      </c>
      <c r="E13" s="240" t="s">
        <v>1798</v>
      </c>
      <c r="F13" s="240" t="s">
        <v>1779</v>
      </c>
    </row>
  </sheetData>
  <sheetProtection algorithmName="SHA-512" hashValue="g1cirzVqfmAQ+qyRGH61kYTvoomFVL4SlkR3PZqIG1F7uD8rz4ruS+41PCuNjymPIdUmWdkLugYajUGDFfAdMg==" saltValue="ij29MxJRQEfT0RkGZjnftg=="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T169"/>
  <sheetViews>
    <sheetView zoomScale="70" zoomScaleNormal="70" workbookViewId="0">
      <selection sqref="A1:F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23</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Q23-N23</f>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Q24-N24</f>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Q25-N25</f>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bIogBngY2JNHtvoOveZuU0bygfYjjpyFMgheLtptc0zw9bvziAEjcg1XJEGwsT4YGjjRNk4S311hyYewSSObAw==" saltValue="z6/HY1ado5MzZo15SPNOCw=="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2"/>
  <sheetViews>
    <sheetView zoomScale="90" zoomScaleNormal="9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14</v>
      </c>
      <c r="I7" s="73"/>
      <c r="J7" s="74" t="s">
        <v>15</v>
      </c>
      <c r="K7" s="73"/>
      <c r="L7" s="72" t="str">
        <f>CONCATENATE("Balance        June 30, ",RIGHT(J4,4))</f>
        <v>Balance        June 30, 2023</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1795</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dcterms:created xsi:type="dcterms:W3CDTF">2023-03-08T17:19:33Z</dcterms:created>
  <dcterms:modified xsi:type="dcterms:W3CDTF">2025-02-28T22:31:19Z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25c9a8-e7a7-476f-a99b-71e4681b659a_Enabled">
    <vt:lpwstr>true</vt:lpwstr>
  </property>
  <property fmtid="{D5CDD505-2E9C-101B-9397-08002B2CF9AE}" pid="3" name="MSIP_Label_6925c9a8-e7a7-476f-a99b-71e4681b659a_SetDate">
    <vt:lpwstr>2025-02-13T17:50:46Z</vt:lpwstr>
  </property>
  <property fmtid="{D5CDD505-2E9C-101B-9397-08002B2CF9AE}" pid="4" name="MSIP_Label_6925c9a8-e7a7-476f-a99b-71e4681b659a_Method">
    <vt:lpwstr>Standard</vt:lpwstr>
  </property>
  <property fmtid="{D5CDD505-2E9C-101B-9397-08002B2CF9AE}" pid="5" name="MSIP_Label_6925c9a8-e7a7-476f-a99b-71e4681b659a_Name">
    <vt:lpwstr>Public</vt:lpwstr>
  </property>
  <property fmtid="{D5CDD505-2E9C-101B-9397-08002B2CF9AE}" pid="6" name="MSIP_Label_6925c9a8-e7a7-476f-a99b-71e4681b659a_SiteId">
    <vt:lpwstr>bb877949-684d-4682-88c4-c07448a5cb92</vt:lpwstr>
  </property>
  <property fmtid="{D5CDD505-2E9C-101B-9397-08002B2CF9AE}" pid="7" name="MSIP_Label_6925c9a8-e7a7-476f-a99b-71e4681b659a_ActionId">
    <vt:lpwstr>49dc60ee-e47b-4932-ae80-1697bddad659</vt:lpwstr>
  </property>
  <property fmtid="{D5CDD505-2E9C-101B-9397-08002B2CF9AE}" pid="8" name="MSIP_Label_6925c9a8-e7a7-476f-a99b-71e4681b659a_ContentBits">
    <vt:lpwstr>0</vt:lpwstr>
  </property>
  <property fmtid="{D5CDD505-2E9C-101B-9397-08002B2CF9AE}" pid="9" name="MSIP_Label_6925c9a8-e7a7-476f-a99b-71e4681b659a_Tag">
    <vt:lpwstr>10, 1, 2, 1</vt:lpwstr>
  </property>
</Properties>
</file>