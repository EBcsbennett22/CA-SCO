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C2F47C6C-1DF1-47B2-856E-D022EBA1F6DD}"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<sst xmlns="http://schemas.openxmlformats.org/spreadsheetml/2006/main" count="7718" uniqueCount="1716">
  <si>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</si>
  <si>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</si>
  <si>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</si>
  <si>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</si>
  <si>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</si>
  <si>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</si>
  <si>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</si>
  <si>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</si>
  <si>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</si>
  <si>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</si>
  <si>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</si>
  <si>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</si>
  <si>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</si>
  <si>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</si>
  <si>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</si>
  <si>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</si>
  <si>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</si>
  <si>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</si>
  <si>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</si>
  <si>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</si>
  <si>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</si>
  <si>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</si>
  <si>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</si>
  <si>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</si>
  <si>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</si>
  <si>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</si>
  <si>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</si>
  <si>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</si>
  <si>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</si>
  <si>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</si>
  <si>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</si>
  <si>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</si>
  <si>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</si>
  <si>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</si>
  <si>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</si>
  <si>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</si>
  <si>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</si>
  <si>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</si>
  <si>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</si>
  <si>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</si>
  <si>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</si>
  <si>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</si>
  <si>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</si>
  <si>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</si>
  <si>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</si>
  <si>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</si>
  <si>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</si>
  <si>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</si>
  <si>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</si>
  <si>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</si>
  <si>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</si>
  <si>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</si>
  <si>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</si>
  <si>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</si>
  <si>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</si>
  <si>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</si>
  <si>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</si>
  <si>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</si>
  <si>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</si>
  <si>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</si>
  <si>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</si>
  <si>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</si>
  <si>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</si>
  <si>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</si>
  <si>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</si>
  <si>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</si>
  <si>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</si>
  <si>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</si>
  <si>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</si>
  <si>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</si>
  <si>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</si>
  <si>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</si>
  <si>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</si>
  <si>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</si>
  <si>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</si>
  <si>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</si>
  <si>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</si>
  <si>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</si>
  <si>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</si>
  <si>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</si>
  <si>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</si>
  <si>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</si>
  <si>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</si>
  <si>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</si>
  <si>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</si>
  <si>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</si>
  <si>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</si>
  <si>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</si>
  <si>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</si>
  <si>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</si>
  <si>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</si>
  <si>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</si>
  <si>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</si>
  <si>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</si>
  <si>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</si>
  <si>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</si>
  <si>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</si>
  <si>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</si>
  <si>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</si>
  <si>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</si>
  <si>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</si>
  <si>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</si>
  <si>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</si>
  <si>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</si>
  <si>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</si>
  <si>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</si>
  <si>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</si>
  <si>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</si>
  <si>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</si>
  <si>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</si>
  <si>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</si>
  <si>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</si>
  <si>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</si>
  <si>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</si>
  <si>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</si>
  <si>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</si>
  <si>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</si>
  <si>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</si>
  <si>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</si>
  <si>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</si>
  <si>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</si>
  <si>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</si>
  <si>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</si>
  <si>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</si>
  <si>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</si>
  <si>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</si>
  <si>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</si>
  <si>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</si>
  <si>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</si>
  <si>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</si>
  <si>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</si>
  <si>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</si>
  <si>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</si>
  <si>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</si>
  <si>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</si>
  <si>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</si>
  <si>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</si>
  <si>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</si>
  <si>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</si>
  <si>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</si>
  <si>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</si>
  <si>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</si>
  <si>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</si>
  <si>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</si>
  <si>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</si>
  <si>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</si>
  <si>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</si>
  <si>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</si>
  <si>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</si>
  <si>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</si>
  <si>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</si>
  <si>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</si>
  <si>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</si>
  <si>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</si>
  <si>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</si>
  <si>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</si>
  <si>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</si>
  <si>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</si>
  <si>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</si>
  <si>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</si>
  <si>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</si>
  <si>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</si>
  <si>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</si>
  <si>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</si>
  <si>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</si>
  <si>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</si>
  <si>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</si>
  <si>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</si>
  <si>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</si>
  <si>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</si>
  <si>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</si>
  <si>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</si>
  <si>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</si>
  <si>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</si>
  <si>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</si>
  <si>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</si>
  <si>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</si>
  <si>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</si>
  <si>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</si>
  <si>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</si>
  <si>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</si>
  <si>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</si>
  <si>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</si>
  <si>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</si>
  <si>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</si>
  <si>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</si>
  <si>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</si>
  <si>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</si>
  <si>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</si>
  <si>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</si>
  <si>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</si>
  <si>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</si>
  <si>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</si>
  <si>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</si>
  <si>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</si>
  <si>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</si>
  <si>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</si>
  <si>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</si>
  <si>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</si>
  <si>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</si>
  <si>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</si>
  <si>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</si>
  <si>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</si>
  <si>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</si>
  <si>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</si>
  <si>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</si>
  <si>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</si>
  <si>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</si>
  <si>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</si>
  <si>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</si>
  <si>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</si>
  <si>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</si>
  <si>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</si>
  <si>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</si>
  <si>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</si>
  <si>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</si>
  <si>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</si>
  <si>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</si>
  <si>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</si>
  <si>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</si>
  <si>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</si>
  <si>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</si>
  <si>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</si>
  <si>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</si>
  <si>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</si>
  <si>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</si>
  <si>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</si>
  <si>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</si>
  <si>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</si>
  <si>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</si>
  <si>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</si>
  <si>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</si>
  <si>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</si>
  <si>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</si>
  <si>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</si>
  <si>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</si>
  <si>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</si>
  <si>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</si>
  <si>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</si>
  <si>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</si>
  <si>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</si>
  <si>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</si>
  <si>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</si>
  <si>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</si>
  <si>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</si>
  <si>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</si>
  <si>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</si>
  <si>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</si>
  <si>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</si>
  <si>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</si>
  <si>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</si>
  <si>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</si>
  <si>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</si>
  <si>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</si>
  <si>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</si>
  <si>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</si>
  <si>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</si>
  <si>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</si>
  <si>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</si>
  <si>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</si>
  <si>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</si>
  <si>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</si>
  <si>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</si>
  <si>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</si>
  <si>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</si>
  <si>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</si>
  <si>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</si>
  <si>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</si>
  <si>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</si>
  <si>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</si>
  <si>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</si>
  <si>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</si>
  <si>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</si>
  <si>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</si>
  <si>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</si>
  <si>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</si>
  <si>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</si>
  <si>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</si>
  <si>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</si>
  <si>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</si>
  <si>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</si>
  <si>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</si>
  <si>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</si>
  <si>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</si>
  <si>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</si>
  <si>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</si>
  <si>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</si>
  <si>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</si>
  <si>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</si>
  <si>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</si>
  <si>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</si>
  <si>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</si>
  <si>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</si>
  <si>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</si>
  <si>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</si>
  <si>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</si>
  <si>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</si>
  <si>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</si>
  <si>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</si>
  <si>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</si>
  <si>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</si>
  <si>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</si>
  <si>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</si>
  <si>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</si>
  <si>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</si>
  <si>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</si>
  <si>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</si>
  <si>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</si>
  <si>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</si>
  <si>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</si>
  <si>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</si>
  <si>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</si>
  <si>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</si>
  <si>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</si>
  <si>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</si>
  <si>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</si>
  <si>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</si>
  <si>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</si>
  <si>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</si>
  <si>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</si>
  <si>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</si>
  <si>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</si>
  <si>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</si>
  <si>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</si>
  <si>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</si>
  <si>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</si>
  <si>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</si>
  <si>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</si>
  <si>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</si>
  <si>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</si>
  <si>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</si>
  <si>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</si>
  <si>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</si>
  <si>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</si>
  <si>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</si>
  <si>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</si>
  <si>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</si>
  <si>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</si>
  <si>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</si>
  <si>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</si>
  <si>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</si>
  <si>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</si>
  <si>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</si>
  <si>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</si>
  <si>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</si>
  <si>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</si>
  <si>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</si>
  <si>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</si>
  <si>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</si>
  <si>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</si>
  <si>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</si>
  <si>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</si>
  <si>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</si>
  <si>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</si>
  <si>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</si>
  <si>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</si>
  <si>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</si>
  <si>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</si>
  <si>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</si>
  <si>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</si>
  <si>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</si>
  <si>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</si>
  <si>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</si>
  <si>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</si>
  <si>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</si>
  <si>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</si>
  <si>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</si>
  <si>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</si>
  <si>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</si>
  <si>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</si>
  <si>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</si>
  <si>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</si>
  <si>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</si>
  <si>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</si>
  <si>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</si>
  <si>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</si>
  <si>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</si>
  <si>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</si>
  <si>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</si>
  <si>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</si>
  <si>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</si>
  <si>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</si>
  <si>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</si>
  <si>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</si>
  <si>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</si>
  <si>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</si>
  <si>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</si>
  <si>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</si>
  <si>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</si>
  <si>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</si>
  <si>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</si>
  <si>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</si>
  <si>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</si>
  <si>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</si>
  <si>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</si>
  <si>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</si>
  <si>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</si>
  <si>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</si>
  <si>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</si>
  <si>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</si>
  <si>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</si>
  <si>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</si>
  <si>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</si>
  <si>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</si>
  <si>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</si>
  <si>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</si>
  <si>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</si>
  <si>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</si>
  <si>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</si>
  <si>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</si>
  <si>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</si>
  <si>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</si>
  <si>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</si>
  <si>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</si>
  <si>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</si>
  <si>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</si>
  <si>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</si>
  <si>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</si>
  <si>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</si>
  <si>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</si>
  <si>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</si>
  <si>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</si>
  <si>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</si>
  <si>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</si>
  <si>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</si>
  <si>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</si>
  <si>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</si>
  <si>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</si>
  <si>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</si>
  <si>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</si>
  <si>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</si>
  <si>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</si>
  <si>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</si>
  <si>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</si>
  <si>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</si>
  <si>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</si>
  <si>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</si>
  <si>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</si>
  <si>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</si>
  <si>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</si>
  <si>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</si>
  <si>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</si>
  <si>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</si>
  <si>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</si>
  <si>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</si>
  <si>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</si>
  <si>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</si>
  <si>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</si>
  <si>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</si>
  <si>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</si>
  <si>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</si>
  <si>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</si>
  <si>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</si>
  <si>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</si>
  <si>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</si>
  <si>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</si>
  <si>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</si>
  <si>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</si>
  <si>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</si>
  <si>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</si>
  <si>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</si>
  <si>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</si>
  <si>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</si>
  <si>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</si>
  <si>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</si>
  <si>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</si>
  <si>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</si>
  <si>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</si>
  <si>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</si>
  <si>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</si>
  <si>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</si>
  <si>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</si>
  <si>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</si>
  <si>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</si>
  <si>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</si>
  <si>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</si>
  <si>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</si>
  <si>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</si>
  <si>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</si>
  <si>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</si>
  <si>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</si>
  <si>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</si>
  <si>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</si>
  <si>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</si>
  <si>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</si>
  <si>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</si>
  <si>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</si>
  <si>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</si>
  <si>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</si>
  <si>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</si>
  <si>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</si>
  <si>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</si>
  <si>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</si>
  <si>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</si>
  <si>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</si>
  <si>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</si>
  <si>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</si>
  <si>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</si>
  <si>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</si>
  <si>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</si>
  <si>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</si>
  <si>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</si>
  <si>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</si>
  <si>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</si>
  <si>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</si>
  <si>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</si>
  <si>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</si>
  <si>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</si>
  <si>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</si>
  <si>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</si>
  <si>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</si>
  <si>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</si>
  <si>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</si>
  <si>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</si>
  <si>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</si>
  <si>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</si>
  <si>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</si>
  <si>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</si>
  <si>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</si>
  <si>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</si>
  <si>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</si>
  <si>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</si>
  <si>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</si>
  <si>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</si>
  <si>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</si>
  <si>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</si>
  <si>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</si>
  <si>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</si>
  <si>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</si>
  <si>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</si>
  <si>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</si>
  <si>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</si>
  <si>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</si>
  <si>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</si>
  <si>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</si>
  <si>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</si>
  <si>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</si>
  <si>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</si>
  <si>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</si>
  <si>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</si>
  <si>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</si>
  <si>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</si>
  <si>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</si>
  <si>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</si>
  <si>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</si>
  <si>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</si>
  <si>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</si>
  <si>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</si>
  <si>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</si>
  <si>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</si>
  <si>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</si>
  <si>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</si>
  <si>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</si>
  <si>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</si>
  <si>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</si>
  <si>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</si>
  <si>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</si>
  <si>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</si>
  <si>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</si>
  <si>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</si>
  <si>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</si>
  <si>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</si>
  <si>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</si>
  <si>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</si>
  <si>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</si>
  <si>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</si>
  <si>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</si>
  <si>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</si>
  <si>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</si>
  <si>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</si>
  <si>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</si>
  <si>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</si>
  <si>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</si>
  <si>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</si>
  <si>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</si>
  <si>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</si>
  <si>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</si>
  <si>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</si>
  <si>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</si>
  <si>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</si>
  <si>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</si>
  <si>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</si>
  <si>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</si>
  <si>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</si>
  <si>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</si>
  <si>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</si>
  <si>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</si>
  <si>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</si>
  <si>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</si>
  <si>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</si>
  <si>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</si>
  <si>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</si>
  <si>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</si>
  <si>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</si>
  <si>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</si>
  <si>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</si>
  <si>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</si>
  <si>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</si>
  <si>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</si>
  <si>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</si>
  <si>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</si>
  <si>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</si>
  <si>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</si>
  <si>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</si>
  <si>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</si>
  <si>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</si>
  <si>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</si>
  <si>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</si>
  <si>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</si>
  <si>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</si>
  <si>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</si>
  <si>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</si>
  <si>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</si>
  <si>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</si>
  <si>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</si>
  <si>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</si>
  <si>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</si>
  <si>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</si>
  <si>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</si>
  <si>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</si>
  <si>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</si>
  <si>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</si>
  <si>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</si>
  <si>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</si>
  <si>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</si>
  <si>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</si>
  <si>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</si>
  <si>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</si>
  <si>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</si>
  <si>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</si>
  <si>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</si>
  <si>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</si>
  <si>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</si>
  <si>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</si>
  <si>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</si>
  <si>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</si>
  <si>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</si>
  <si>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</si>
  <si>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</si>
  <si>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</si>
  <si>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</si>
  <si>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</si>
  <si>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</si>
  <si>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</si>
  <si>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</si>
  <si>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</si>
  <si>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</si>
  <si>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</si>
  <si>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</si>
  <si>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</si>
  <si>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</si>
  <si>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</si>
  <si>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</si>
  <si>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</si>
  <si>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</si>
  <si>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</si>
  <si>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</si>
  <si>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</si>
  <si>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</si>
  <si>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</si>
  <si>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</si>
  <si>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</si>
  <si>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</si>
  <si>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</si>
  <si>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</si>
  <si>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</si>
  <si>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</si>
  <si>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</si>
  <si>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</si>
  <si>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</si>
  <si>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</si>
  <si>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</si>
  <si>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</si>
  <si>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</si>
  <si>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</si>
  <si>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</si>
  <si>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</si>
  <si>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</si>
  <si>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</si>
  <si>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</si>
  <si>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</si>
  <si>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</si>
  <si>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</si>
  <si>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</si>
  <si>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</si>
  <si>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</si>
  <si>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</si>
  <si>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</si>
  <si>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</si>
  <si>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</si>
  <si>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</si>
  <si>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</si>
  <si>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</si>
  <si>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</si>
  <si>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</si>
  <si>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</si>
  <si>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</si>
  <si>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</si>
  <si>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</si>
  <si>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</si>
  <si>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</si>
  <si>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</si>
  <si>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</si>
  <si>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</si>
  <si>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</si>
  <si>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</si>
  <si>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</si>
  <si>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</si>
  <si>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</si>
  <si>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</si>
  <si>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</si>
  <si>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</si>
  <si>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</si>
  <si>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</si>
  <si>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</si>
  <si>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</si>
  <si>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</si>
  <si>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</si>
  <si>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</si>
  <si>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</si>
  <si>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</si>
  <si>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</si>
  <si>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</si>
  <si>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</si>
  <si>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</si>
  <si>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</si>
  <si>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</si>
  <si>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</si>
  <si>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</si>
  <si>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</si>
  <si>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</si>
  <si>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</si>
  <si>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</si>
  <si>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</si>
  <si>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</si>
  <si>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</si>
  <si>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</si>
  <si>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</si>
  <si>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</si>
  <si>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</si>
  <si>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</si>
  <si>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</si>
  <si>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</si>
  <si>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</si>
  <si>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</si>
  <si>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</si>
  <si>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</si>
  <si>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</si>
  <si>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</si>
  <si>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</si>
  <si>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</si>
  <si>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</si>
  <si>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</si>
  <si>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</si>
  <si>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</si>
  <si>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</si>
  <si>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</si>
  <si>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</si>
  <si>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</si>
  <si>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</si>
  <si>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</si>
  <si>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</si>
  <si>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</si>
  <si>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</si>
  <si>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</si>
  <si>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</si>
  <si>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</si>
  <si>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</si>
  <si>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</si>
  <si>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</si>
  <si>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</si>
  <si>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</si>
  <si>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</si>
  <si>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</si>
  <si>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</si>
  <si>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</si>
  <si>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</si>
  <si>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</si>
  <si>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</si>
  <si>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</si>
  <si>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</si>
  <si>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</si>
  <si>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</si>
  <si>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</si>
  <si>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</si>
  <si>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</si>
  <si>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</si>
  <si>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</si>
  <si>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</si>
  <si>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</si>
  <si>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</si>
  <si>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</si>
  <si>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</si>
  <si>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</si>
  <si>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</si>
  <si>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</si>
  <si>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</si>
  <si>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</si>
  <si>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</si>
  <si>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</si>
  <si>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</si>
  <si>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</si>
  <si>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</si>
  <si>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</si>
  <si>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</si>
  <si>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</si>
  <si>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</si>
  <si>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</si>
  <si>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</si>
  <si>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</si>
  <si>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</si>
  <si>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</si>
  <si>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</si>
  <si>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</si>
  <si>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</si>
  <si>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</si>
  <si>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</si>
  <si>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</si>
  <si>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</si>
  <si>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</si>
  <si>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</si>
  <si>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</si>
  <si>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</si>
  <si>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</si>
  <si>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</si>
  <si>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</si>
  <si>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</si>
  <si>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</si>
  <si>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</si>
  <si>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</si>
  <si>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</si>
  <si>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</si>
  <si>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</si>
  <si>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</si>
  <si>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</si>
  <si>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</si>
  <si>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</si>
  <si>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</si>
  <si>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</si>
  <si>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</si>
  <si>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</si>
  <si>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</si>
  <si>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</si>
  <si>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</si>
  <si>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</si>
  <si>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</si>
  <si>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</si>
  <si>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</si>
  <si>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</si>
  <si>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</si>
  <si>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</si>
  <si>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</si>
  <si>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</si>
  <si>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</si>
  <si>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</si>
  <si>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</si>
  <si>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</si>
  <si>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</si>
  <si>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</si>
  <si>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</si>
  <si>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</si>
  <si>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</si>
  <si>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</si>
  <si>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</si>
  <si>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</si>
  <si>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</si>
  <si>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</si>
  <si>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</si>
  <si>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</si>
  <si>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</si>
  <si>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</si>
  <si>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</si>
  <si>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</si>
  <si>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</si>
  <si>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</si>
  <si>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</si>
  <si>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</si>
  <si>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</si>
  <si>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</si>
  <si>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</si>
  <si>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</si>
  <si>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</si>
  <si>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</si>
  <si>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</si>
  <si>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</si>
  <si>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</si>
  <si>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</si>
  <si>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</si>
  <si>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</si>
  <si>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</si>
  <si>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</si>
  <si>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</si>
  <si>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</si>
  <si>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</si>
  <si>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</si>
  <si>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</si>
  <si>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</si>
  <si>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</si>
  <si>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</si>
  <si>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</si>
  <si>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</si>
  <si>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</si>
  <si>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</si>
  <si>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</si>
  <si>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</si>
  <si>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</si>
  <si>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</si>
  <si>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</si>
  <si>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</si>
  <si>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</si>
  <si>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</si>
  <si>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</si>
  <si>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</si>
  <si>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</si>
  <si>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</si>
  <si>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</si>
  <si>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</si>
  <si>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</si>
  <si>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</si>
  <si>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</si>
  <si>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</si>
  <si>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</si>
  <si>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</si>
  <si>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</si>
  <si>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</si>
  <si>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</si>
  <si>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</si>
  <si>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</si>
  <si>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</si>
  <si>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</si>
  <si>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</si>
  <si>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</si>
  <si>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</si>
  <si>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</si>
  <si>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</si>
  <si>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</si>
  <si>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</si>
  <si>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</si>
  <si>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</si>
  <si>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</si>
  <si>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</si>
  <si>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</si>
  <si>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</si>
  <si>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</si>
  <si>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</si>
  <si>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</si>
  <si>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</si>
  <si>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</si>
  <si>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</si>
  <si>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</si>
  <si>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</si>
  <si>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</si>
  <si>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</si>
  <si>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</si>
  <si>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</si>
  <si>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</si>
  <si>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</si>
  <si>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</si>
  <si>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</si>
  <si>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</si>
  <si>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</si>
  <si>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</si>
  <si>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</si>
  <si>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</si>
  <si>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</si>
  <si>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</si>
  <si>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</si>
  <si>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</si>
  <si>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</si>
  <si>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</si>
  <si>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</si>
  <si>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</si>
  <si>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</si>
  <si>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</si>
  <si>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</si>
  <si>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</si>
  <si>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</si>
  <si>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</si>
  <si>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</si>
  <si>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</si>
  <si>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</si>
  <si>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</si>
  <si>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</si>
  <si>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</si>
  <si>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</si>
  <si>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</si>
  <si>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</si>
  <si>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</si>
  <si>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</si>
  <si>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</si>
  <si>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</si>
  <si>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</si>
  <si>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</si>
  <si>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</si>
  <si>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</si>
  <si>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</si>
  <si>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</si>
  <si>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</si>
  <si>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</si>
  <si>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</si>
  <si>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</si>
  <si>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</si>
  <si>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</si>
  <si>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</si>
  <si>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</si>
  <si>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</si>
  <si>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</si>
  <si>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</si>
  <si>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</si>
  <si>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</si>
  <si>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</si>
  <si>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</si>
  <si>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</si>
  <si>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</si>
  <si>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</si>
  <si>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</si>
  <si>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</si>
  <si>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</si>
  <si>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</si>
  <si>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</si>
  <si>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</si>
  <si>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</si>
  <si>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</si>
  <si>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</si>
  <si>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</si>
  <si>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</si>
  <si>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</si>
  <si>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</si>
  <si>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</si>
  <si>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</si>
  <si>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</si>
  <si>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</si>
  <si>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</si>
  <si>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</si>
  <si>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</si>
  <si>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</si>
  <si>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</si>
  <si>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</si>
  <si>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</si>
  <si>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</si>
  <si>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</si>
  <si>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</si>
  <si>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</si>
  <si>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</si>
  <si>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</si>
  <si>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</si>
  <si>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</si>
  <si>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</si>
  <si>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</si>
  <si>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</si>
  <si>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</si>
  <si>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</si>
  <si>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</si>
  <si>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</si>
  <si>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</si>
  <si>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</si>
  <si>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</si>
  <si>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</si>
  <si>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</si>
  <si>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</si>
  <si>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</si>
  <si>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</si>
  <si>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</si>
  <si>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</si>
  <si>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</si>
  <si>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</si>
  <si>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</si>
  <si>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</si>
  <si>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</si>
  <si>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</si>
  <si>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</si>
  <si>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</si>
  <si>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</si>
  <si>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</si>
  <si>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</si>
  <si>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</si>
  <si>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</si>
  <si>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</si>
  <si>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</si>
  <si>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</si>
  <si>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</si>
  <si>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</si>
  <si>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</si>
  <si>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</si>
  <si>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</si>
  <si>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</si>
  <si>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</si>
  <si>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</si>
  <si>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</si>
  <si>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</si>
  <si>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</si>
  <si>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</si>
  <si>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</si>
  <si>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</si>
  <si>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</si>
  <si>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</si>
  <si>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</si>
  <si>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</si>
  <si>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</si>
  <si>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</si>
  <si>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</si>
  <si>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</si>
  <si>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</si>
  <si>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</si>
  <si>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</si>
  <si>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</si>
  <si>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</si>
  <si>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</si>
  <si>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</si>
  <si>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</si>
  <si>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</si>
  <si>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</si>
  <si>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</si>
  <si>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</si>
  <si>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</si>
  <si>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</si>
  <si>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</si>
  <si>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</si>
  <si>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</si>
  <si>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</si>
  <si>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</si>
  <si>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</si>
  <si>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</si>
  <si>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</si>
  <si>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</si>
  <si>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</si>
  <si>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</si>
  <si>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</si>
  <si>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</si>
  <si>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</si>
  <si>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</si>
  <si>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</si>
  <si>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</si>
  <si>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</si>
  <si>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</si>
  <si>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</si>
  <si>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</si>
  <si>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</si>
  <si>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</si>
  <si>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</si>
  <si>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</si>
  <si>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</si>
  <si>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</si>
  <si>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</si>
  <si>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</si>
  <si>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</si>
  <si>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</si>
  <si>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</si>
  <si>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</si>
  <si>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</si>
  <si>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</si>
  <si>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</si>
  <si>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</si>
  <si>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</si>
  <si>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</si>
  <si>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</si>
  <si>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</si>
  <si>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</si>
  <si>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</si>
  <si>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</si>
  <si>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</si>
  <si>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</si>
  <si>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</si>
  <si>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</si>
  <si>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</si>
  <si>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</si>
  <si>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</si>
  <si>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</si>
  <si>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</si>
  <si>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</si>
  <si>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</si>
  <si>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</si>
  <si>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</si>
  <si>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</si>
  <si>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</si>
  <si>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</si>
  <si>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</si>
  <si>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</si>
  <si>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</si>
  <si>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</si>
  <si>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</si>
  <si>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</si>
  <si>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</si>
  <si>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</si>
  <si>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</si>
  <si>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</si>
  <si>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</si>
  <si>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</si>
  <si>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</si>
  <si>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</si>
  <si>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</si>
  <si>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</si>
  <si>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</si>
  <si>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</si>
  <si>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</si>
  <si>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</si>
  <si>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</si>
  <si>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</si>
  <si>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</si>
  <si>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</si>
  <si>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</si>
  <si>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</si>
  <si>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</si>
  <si>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</si>
  <si>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</si>
  <si>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</si>
  <si>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</si>
  <si>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</si>
  <si>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</si>
  <si>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</si>
  <si>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</si>
  <si>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</si>
  <si>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</si>
  <si>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</si>
  <si>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</si>
  <si>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</si>
  <si>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</si>
  <si>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</si>
  <si>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</si>
  <si>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</si>
  <si>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</si>
  <si>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</si>
  <si>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</si>
  <si>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</si>
  <si>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</si>
  <si>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</si>
  <si>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</si>
  <si>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</si>
  <si>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</si>
  <si>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</si>
  <si>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</si>
  <si>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</si>
  <si>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</si>
  <si>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</si>
  <si>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</si>
  <si>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</si>
  <si>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</si>
  <si>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</si>
  <si>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</si>
  <si>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</si>
  <si>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</si>
  <si>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</si>
  <si>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</si>
  <si>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</si>
  <si>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</si>
  <si>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</si>
  <si>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</si>
  <si>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</si>
  <si>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</si>
  <si>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</si>
  <si>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</si>
  <si>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</si>
  <si>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</si>
  <si>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</si>
  <si>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</si>
  <si>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</si>
  <si>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</si>
  <si>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</si>
  <si>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</si>
  <si>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</si>
  <si>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</si>
  <si>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</si>
  <si>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</si>
  <si>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</si>
  <si>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</si>
  <si>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</si>
  <si>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</si>
  <si>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</si>
  <si>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</si>
  <si>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</si>
  <si>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</si>
  <si>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</si>
  <si>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</si>
  <si>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</si>
  <si>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</si>
  <si>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</si>
  <si>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</si>
  <si>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</si>
  <si>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</si>
  <si>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</si>
  <si>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</si>
  <si>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</si>
  <si>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</si>
  <si>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</si>
  <si>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</si>
  <si>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</si>
  <si>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</si>
  <si>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</si>
  <si>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</si>
  <si>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</si>
  <si>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</si>
  <si>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</si>
  <si>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</si>
  <si>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</si>
  <si>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</si>
  <si>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</si>
  <si>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</si>
  <si>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</si>
  <si>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</si>
  <si>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</si>
  <si>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</si>
  <si>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</si>
  <si>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</si>
  <si>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</si>
  <si>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</si>
  <si>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</si>
  <si>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</si>
  <si>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</si>
  <si>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</si>
  <si>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</si>
  <si>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</si>
  <si>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</si>
  <si>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</si>
  <si>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</si>
  <si>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</si>
  <si>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</si>
  <si>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</si>
  <si>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</si>
  <si>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</si>
  <si>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</si>
  <si>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</si>
  <si>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</si>
  <si>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</si>
  <si>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</si>
  <si>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</si>
  <si>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</si>
  <si>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</si>
  <si>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</si>
  <si>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</si>
  <si>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</si>
  <si>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</si>
  <si>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</si>
  <si>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</si>
  <si>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</si>
  <si>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</si>
  <si>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</si>
  <si>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</si>
  <si>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</si>
  <si>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</si>
  <si>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</si>
  <si>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</si>
  <si>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</si>
  <si>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</si>
  <si>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</si>
  <si>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</si>
  <si>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</si>
  <si>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</si>
  <si>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</si>
  <si>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</si>
  <si>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</si>
  <si>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</si>
  <si>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</si>
  <si>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</si>
  <si>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</si>
  <si>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</si>
  <si>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</si>
  <si>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</si>
  <si>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</si>
  <si>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</si>
  <si>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</si>
  <si>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</si>
  <si>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</si>
  <si>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</si>
  <si>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</si>
  <si>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</si>
  <si>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</si>
  <si>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</si>
  <si>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</si>
  <si>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</si>
  <si>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</si>
  <si>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</si>
  <si>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</si>
  <si>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</si>
  <si>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</si>
  <si>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</si>
  <si>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</si>
  <si>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</si>
  <si>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</si>
  <si>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</si>
  <si>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</si>
  <si>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</si>
  <si>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</si>
  <si>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</si>
  <si>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</si>
  <si>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</si>
  <si>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</si>
  <si>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</si>
  <si>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</si>
  <si>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</si>
  <si>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</si>
  <si>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</si>
  <si>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</si>
  <si>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</si>
  <si>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</si>
  <si>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</si>
  <si>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</si>
  <si>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</si>
  <si>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</si>
  <si>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</si>
  <si>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</si>
  <si>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</si>
  <si>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</si>
  <si>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</si>
  <si>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</si>
  <si>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</si>
  <si>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</si>
  <si>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</si>
  <si>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</si>
  <si>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</si>
  <si>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</si>
  <si>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</si>
  <si>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</si>
  <si>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</si>
  <si>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</si>
  <si>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</si>
  <si>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</si>
  <si>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</si>
  <si>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</si>
  <si>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</si>
  <si>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</si>
  <si>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</si>
  <si>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</si>
  <si>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</si>
  <si>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</si>
  <si>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</si>
  <si>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</si>
  <si>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</si>
  <si>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</si>
  <si>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</si>
  <si>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</si>
  <si>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</si>
  <si>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</si>
  <si>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</si>
  <si>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</si>
  <si>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</si>
  <si>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</si>
  <si>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</si>
  <si>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</si>
  <si>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</si>
  <si>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</si>
  <si>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</si>
  <si>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</si>
  <si>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</si>
  <si>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</si>
  <si>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</si>
  <si>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</si>
  <si>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</si>
  <si>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</si>
  <si>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</si>
  <si>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</si>
  <si>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</si>
  <si>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</si>
  <si>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</si>
  <si>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</si>
  <si>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</si>
  <si>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</si>
  <si>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</si>
  <si>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</si>
  <si>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</si>
  <si>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</si>
  <si>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</si>
  <si>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</si>
  <si>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</si>
  <si>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</si>
  <si>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</si>
  <si>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</si>
  <si>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</si>
  <si>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</si>
  <si>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</si>
  <si>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</si>
  <si>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</si>
  <si>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</si>
  <si>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</si>
  <si>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</si>
  <si>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</si>
  <si>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</si>
  <si>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</si>
  <si>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</si>
  <si>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</si>
  <si>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</si>
  <si>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</si>
  <si>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</si>
  <si>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</si>
  <si>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</si>
  <si>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</si>
  <si>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</si>
  <si>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</si>
  <si>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</si>
  <si>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</si>
  <si>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</si>
  <si>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</si>
  <si>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</si>
  <si>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</si>
  <si>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</si>
  <si>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</si>
  <si>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</si>
  <si>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</si>
  <si>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</si>
  <si>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</si>
  <si>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</si>
  <si>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</si>
  <si>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</si>
  <si>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</si>
  <si>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</si>
  <si>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</si>
  <si>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</si>
  <si>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</si>
  <si>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</si>
  <si>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</si>
  <si>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</si>
  <si>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</si>
  <si>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</si>
  <si>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</si>
  <si>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</si>
  <si>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</si>
  <si>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</si>
  <si>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</si>
  <si>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</si>
  <si>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</si>
  <si>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</si>
  <si>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</si>
  <si>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</si>
  <si>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</si>
  <si>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</si>
  <si>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</si>
  <si>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</si>
  <si>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</si>
  <si>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</si>
  <si>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</si>
  <si>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</si>
  <si>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</si>
  <si>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</si>
  <si>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</si>
  <si>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</si>
  <si>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</si>
  <si>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</si>
  <si>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</si>
  <si>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</si>
  <si>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</si>
  <si>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</si>
  <si>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</si>
  <si>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</si>
  <si>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</si>
  <si>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</si>
  <si>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</si>
  <si>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</si>
  <si>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</si>
  <si>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</si>
  <si>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</si>
  <si>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</si>
  <si>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</si>
  <si>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</si>
  <si>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</si>
  <si>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</si>
  <si>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</si>
  <si>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</si>
  <si>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</si>
  <si>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</si>
  <si>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</si>
  <si>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</si>
  <si>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</si>
  <si>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</si>
  <si>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</si>
  <si>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</si>
  <si>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</si>
  <si>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</si>
  <si>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</si>
  <si>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</si>
  <si>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</si>
  <si>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</si>
  <si>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</si>
  <si>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</si>
  <si>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</si>
  <si>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</si>
  <si>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</si>
  <si>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</si>
  <si>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</si>
  <si>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</si>
  <si>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</si>
  <si>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</si>
  <si>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</si>
  <si>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</si>
  <si>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</si>
  <si>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</si>
  <si>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</si>
  <si>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</si>
  <si>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</si>
  <si>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</si>
  <si>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</si>
  <si>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</si>
  <si>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</si>
  <si>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</si>
  <si>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</si>
  <si>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</si>
  <si>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</si>
  <si>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</si>
  <si>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</si>
  <si>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</si>
  <si>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</si>
  <si>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</si>
  <si>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</si>
  <si>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</si>
  <si>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</si>
  <si>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</si>
  <si>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</si>
  <si>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</si>
  <si>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</si>
  <si>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</si>
  <si>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</si>
  <si>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</si>
  <si>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</si>
  <si>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</si>
  <si>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</si>
  <si>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</si>
  <si>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</si>
  <si>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</si>
  <si>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</si>
  <si>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</si>
  <si>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</si>
  <si>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</si>
  <si>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</si>
  <si>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</si>
  <si>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</si>
  <si>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</si>
  <si>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</si>
  <si>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</si>
  <si>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</si>
  <si>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</si>
  <si>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</si>
  <si>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</si>
  <si>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</si>
  <si>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</si>
  <si>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</si>
  <si>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</si>
  <si>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</si>
  <si>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</si>
  <si>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</si>
  <si>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</si>
  <si>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</si>
  <si>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</si>
  <si>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</si>
  <si>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</si>
  <si>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</si>
  <si>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</si>
  <si>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</si>
  <si>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</si>
  <si>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</si>
  <si>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</si>
  <si>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</si>
  <si>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</si>
  <si>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</si>
  <si>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</si>
  <si>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</si>
  <si>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</si>
  <si>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</si>
  <si>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</si>
  <si>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</si>
  <si>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</si>
  <si>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</si>
  <si>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</si>
  <si>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</si>
  <si>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</si>
  <si>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</si>
  <si>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</si>
  <si>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</si>
  <si>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</si>
  <si>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</si>
  <si>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</si>
  <si>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</si>
  <si>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</si>
  <si>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</si>
  <si>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</si>
  <si>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</si>
  <si>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</si>
  <si>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</si>
  <si>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</si>
  <si>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</si>
  <si>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</si>
  <si>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</si>
  <si>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</si>
  <si>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</si>
  <si>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</si>
  <si>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</si>
  <si>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</si>
  <si>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</si>
  <si>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</si>
  <si>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</si>
  <si>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</si>
  <si>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</si>
  <si>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</si>
  <si>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</si>
  <si>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</si>
  <si>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</si>
  <si>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</si>
  <si>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</si>
  <si>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</si>
  <si>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</si>
  <si>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</si>
  <si>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</si>
  <si>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</si>
  <si>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</si>
  <si>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</si>
  <si>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</si>
  <si>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</si>
  <si>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</si>
  <si>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</si>
  <si>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</si>
  <si>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</si>
  <si>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</si>
  <si>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</si>
  <si>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</si>
  <si>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</si>
  <si>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</si>
  <si>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</si>
  <si>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</si>
  <si>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Department of Tax and Fee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</si>
</sst>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K13" sqref="K13"/>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K127" sqref="K12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1216</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50074083</v>
      </c>
      <c r="M17" s="143">
        <v>50074083</v>
      </c>
      <c r="P17" s="143">
        <v>50074083</v>
      </c>
      <c r="Q17" s="155"/>
      <c r="S17" s="154">
        <f t="shared" si="0"/>
        <v>0</v>
      </c>
      <c r="T17" s="180" t="s">
        <v>1684</v>
      </c>
    </row>
    <row r="18" spans="1:20" ht="16.5" customHeight="1" x14ac:dyDescent="0.25">
      <c r="A18" s="54"/>
      <c r="B18" s="9" t="s">
        <v>168</v>
      </c>
      <c r="C18" s="9"/>
      <c r="D18" s="9"/>
      <c r="E18" s="140"/>
      <c r="F18" s="141"/>
      <c r="G18" s="141"/>
      <c r="H18" s="142"/>
      <c r="I18" s="142"/>
      <c r="J18" s="178">
        <f>P18</f>
        <v>1270655</v>
      </c>
      <c r="M18" s="143">
        <v>1270655</v>
      </c>
      <c r="P18" s="152">
        <f>IF(SUM($Q$20:$Q$23)&gt;SUM($P$15:$P$17),SUM($Q$20:$Q$23)-SUM($P$15:$P$17),0)</f>
        <v>1270655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15171776</v>
      </c>
      <c r="N22" s="143">
        <v>15171776</v>
      </c>
      <c r="P22" s="155"/>
      <c r="Q22" s="143">
        <v>15171776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36172962</v>
      </c>
      <c r="N23" s="143">
        <v>36172962</v>
      </c>
      <c r="P23" s="155"/>
      <c r="Q23" s="143">
        <v>36172962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51344738</v>
      </c>
      <c r="K26" s="107">
        <f>SUM(K15:K25)</f>
        <v>51344738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50336156</v>
      </c>
      <c r="K33" s="144"/>
    </row>
    <row r="34" spans="1:12" ht="16.5" customHeight="1" x14ac:dyDescent="0.25">
      <c r="A34" s="54"/>
      <c r="B34" s="9"/>
      <c r="C34" s="9" t="s">
        <v>1673</v>
      </c>
      <c r="D34" s="140"/>
      <c r="E34" s="140"/>
      <c r="F34" s="141"/>
      <c r="G34" s="141"/>
      <c r="H34" s="142"/>
      <c r="I34" s="142"/>
      <c r="J34" s="144"/>
      <c r="K34" s="143">
        <v>50336156</v>
      </c>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50336156</v>
      </c>
      <c r="K36" s="107">
        <f>SUM(K33:K35)</f>
        <v>50336156</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50336156</v>
      </c>
      <c r="K41" s="144"/>
    </row>
    <row r="42" spans="1:12" ht="16.5" customHeight="1" x14ac:dyDescent="0.25">
      <c r="A42" s="54"/>
      <c r="B42" s="9"/>
      <c r="C42" s="9" t="s">
        <v>180</v>
      </c>
      <c r="D42" s="140"/>
      <c r="E42" s="140"/>
      <c r="F42" s="141"/>
      <c r="G42" s="141"/>
      <c r="H42" s="142"/>
      <c r="I42" s="142"/>
      <c r="J42" s="144"/>
      <c r="K42" s="143">
        <v>50336156</v>
      </c>
    </row>
    <row r="43" spans="1:12" ht="16.5" customHeight="1" x14ac:dyDescent="0.25">
      <c r="A43" s="54"/>
      <c r="B43" s="130" t="s">
        <v>1639</v>
      </c>
      <c r="C43" s="16"/>
      <c r="D43" s="16"/>
      <c r="E43" s="16"/>
      <c r="F43" s="17"/>
      <c r="G43" s="17"/>
      <c r="H43" s="18"/>
      <c r="I43" s="18"/>
      <c r="J43" s="107">
        <f>SUM(J39:J42)</f>
        <v>50336156</v>
      </c>
      <c r="K43" s="107">
        <f>SUM(K39:K42)</f>
        <v>50336156</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50336156</v>
      </c>
      <c r="K47" s="144"/>
    </row>
    <row r="48" spans="1:12" ht="16.5" customHeight="1" x14ac:dyDescent="0.25">
      <c r="A48" s="165" t="s">
        <v>1645</v>
      </c>
      <c r="B48" s="9"/>
      <c r="C48" s="9" t="s">
        <v>173</v>
      </c>
      <c r="D48" s="140"/>
      <c r="E48" s="140"/>
      <c r="F48" s="141"/>
      <c r="G48" s="141"/>
      <c r="H48" s="142"/>
      <c r="I48" s="142"/>
      <c r="J48" s="144"/>
      <c r="K48" s="143">
        <v>50336156</v>
      </c>
    </row>
    <row r="49" spans="1:16" ht="16.5" customHeight="1" x14ac:dyDescent="0.25">
      <c r="A49" s="54"/>
      <c r="C49" s="16"/>
      <c r="D49" s="16"/>
      <c r="E49" s="16"/>
      <c r="F49" s="17"/>
      <c r="G49" s="17"/>
      <c r="H49" s="18"/>
      <c r="I49" s="18"/>
      <c r="J49" s="107">
        <f>SUM(J47:J48)</f>
        <v>50336156</v>
      </c>
      <c r="K49" s="107">
        <f>SUM(K47:K48)</f>
        <v>50336156</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9588582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9588582</v>
      </c>
    </row>
    <row r="59" spans="1:16" ht="16.5" customHeight="1" x14ac:dyDescent="0.25">
      <c r="A59" s="54"/>
      <c r="C59" s="16"/>
      <c r="D59" s="16"/>
      <c r="E59" s="16"/>
      <c r="F59" s="17"/>
      <c r="G59" s="17"/>
      <c r="H59" s="18"/>
      <c r="I59" s="18"/>
      <c r="J59" s="107">
        <f>SUM(J55:J58)</f>
        <v>9588582</v>
      </c>
      <c r="K59" s="107">
        <f>SUM(K55:K58)</f>
        <v>9588582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7919728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1232484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9152212</v>
      </c>
    </row>
    <row r="65" spans="1:12" ht="16.5" customHeight="1" x14ac:dyDescent="0.25">
      <c r="A65" s="54"/>
      <c r="C65" s="16"/>
      <c r="D65" s="16"/>
      <c r="E65" s="16"/>
      <c r="F65" s="17"/>
      <c r="G65" s="17"/>
      <c r="H65" s="18"/>
      <c r="I65" s="18"/>
      <c r="J65" s="107">
        <f>SUM(J62:J64)</f>
        <v>9152212</v>
      </c>
      <c r="K65" s="107">
        <f>SUM(K62:K64)</f>
        <v>9152212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7919728</v>
      </c>
      <c r="K68" s="144"/>
    </row>
    <row r="69" spans="1:12" ht="16.5" customHeight="1" x14ac:dyDescent="0.25">
      <c r="A69" s="54"/>
      <c r="B69" s="9"/>
      <c r="C69" s="9" t="s">
        <v>185</v>
      </c>
      <c r="D69" s="140"/>
      <c r="E69" s="140"/>
      <c r="F69" s="141"/>
      <c r="G69" s="141"/>
      <c r="H69" s="142"/>
      <c r="I69" s="142"/>
      <c r="J69" s="144"/>
      <c r="K69" s="143">
        <v>7919728</v>
      </c>
      <c r="L69" s="10" t="str">
        <f>IF($J$62=$K$69,"","&lt;- Accts 0848 must agree")</f>
        <v/>
      </c>
    </row>
    <row r="70" spans="1:12" ht="16.5" customHeight="1" x14ac:dyDescent="0.25">
      <c r="A70" s="54"/>
      <c r="C70" s="16"/>
      <c r="D70" s="16"/>
      <c r="E70" s="16"/>
      <c r="F70" s="17"/>
      <c r="G70" s="17"/>
      <c r="H70" s="18"/>
      <c r="I70" s="18"/>
      <c r="J70" s="107">
        <f>SUM(J68:J69)</f>
        <v>7919728</v>
      </c>
      <c r="K70" s="107">
        <f>SUM(K68:K69)</f>
        <v>7919728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8532139</v>
      </c>
      <c r="K75" s="144"/>
    </row>
    <row r="76" spans="1:12" ht="16.5" customHeight="1" x14ac:dyDescent="0.25">
      <c r="A76" s="54"/>
      <c r="B76" s="9"/>
      <c r="C76" s="9" t="s">
        <v>193</v>
      </c>
      <c r="D76" s="140"/>
      <c r="E76" s="140"/>
      <c r="F76" s="141"/>
      <c r="G76" s="141"/>
      <c r="H76" s="142"/>
      <c r="I76" s="142"/>
      <c r="J76" s="144"/>
      <c r="K76" s="143">
        <v>8532139</v>
      </c>
    </row>
    <row r="77" spans="1:12" ht="16.5" customHeight="1" x14ac:dyDescent="0.2">
      <c r="A77" s="54"/>
      <c r="B77" s="190" t="s">
        <v>1672</v>
      </c>
      <c r="C77" s="190"/>
      <c r="D77" s="190"/>
      <c r="E77" s="190"/>
      <c r="F77" s="190"/>
      <c r="G77" s="190"/>
      <c r="H77" s="190"/>
      <c r="I77" s="190"/>
      <c r="J77" s="107">
        <f>SUM(J75:J76)</f>
        <v>8532139</v>
      </c>
      <c r="K77" s="107">
        <f>SUM(K75:K76)</f>
        <v>8532139</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3105675</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3105675</v>
      </c>
    </row>
    <row r="91" spans="1:16" ht="16.5" customHeight="1" x14ac:dyDescent="0.25">
      <c r="B91" s="130" t="s">
        <v>1640</v>
      </c>
      <c r="H91" s="10"/>
      <c r="J91" s="108">
        <f>SUM(J85:J90)</f>
        <v>3105675</v>
      </c>
      <c r="K91" s="108">
        <f>SUM(K85:K90)</f>
        <v>3105675</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15641262</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8428024</v>
      </c>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23573311</v>
      </c>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v>495975</v>
      </c>
    </row>
    <row r="105" spans="1:12" ht="16.5" customHeight="1" x14ac:dyDescent="0.25">
      <c r="B105" s="130" t="s">
        <v>1640</v>
      </c>
      <c r="H105" s="10"/>
      <c r="J105" s="108">
        <f>SUM(J96:J104)</f>
        <v>24069286</v>
      </c>
      <c r="K105" s="108">
        <f>SUM(K96:K104)</f>
        <v>24069286</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73731253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-13226659</v>
      </c>
    </row>
    <row r="128" spans="1:12" ht="16.5" customHeight="1" x14ac:dyDescent="0.25">
      <c r="D128" s="140" t="s">
        <v>1656</v>
      </c>
      <c r="H128" s="10"/>
      <c r="K128" s="169">
        <f>-K23-K48+J68+J75+J96-K113</f>
        <v>-54415989</v>
      </c>
    </row>
    <row r="129" spans="4:11" ht="16.5" customHeight="1" x14ac:dyDescent="0.25">
      <c r="D129" s="140" t="s">
        <v>1657</v>
      </c>
      <c r="H129" s="10"/>
      <c r="K129" s="169">
        <f>-K76</f>
        <v>-8532139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7600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8532139</v>
      </c>
      <c r="C13" s="55">
        <v>1408450</v>
      </c>
      <c r="D13" s="202" t="s">
        <v>4</v>
      </c>
      <c r="E13" s="203"/>
      <c r="F13" s="203"/>
      <c r="G13" s="29"/>
      <c r="H13" s="29"/>
      <c r="I13" s="29"/>
      <c r="J13" s="29"/>
      <c r="K13" s="29"/>
      <c r="L13" s="29"/>
      <c r="M13" s="29"/>
    </row>
    <row r="14" spans="1:13" x14ac:dyDescent="0.2">
      <c r="A14" s="51" t="str">
        <f>LEFT(A13,4)+1&amp;"–"&amp;RIGHT(A13,4)+1</f>
        <v>2025–2026</v>
      </c>
      <c r="B14" s="55">
        <v>8584826</v>
      </c>
      <c r="C14" s="55">
        <v>1208452</v>
      </c>
      <c r="D14" s="202"/>
      <c r="E14" s="203"/>
      <c r="F14" s="203"/>
    </row>
    <row r="15" spans="1:13" ht="15.75" x14ac:dyDescent="0.2">
      <c r="A15" s="51" t="str">
        <f>LEFT(A14,4)+1&amp;"–"&amp;RIGHT(A14,4)+1</f>
        <v>2026–2027</v>
      </c>
      <c r="B15" s="55">
        <v>8193769</v>
      </c>
      <c r="C15" s="55">
        <v>1017174</v>
      </c>
      <c r="D15" s="198" t="s">
        <v>125</v>
      </c>
      <c r="E15" s="198"/>
      <c r="F15" s="198"/>
      <c r="G15" s="30"/>
      <c r="H15" s="30"/>
      <c r="I15" s="30"/>
      <c r="J15" s="30"/>
      <c r="K15" s="30"/>
      <c r="L15" s="30"/>
      <c r="M15" s="30"/>
    </row>
    <row r="16" spans="1:13" x14ac:dyDescent="0.2">
      <c r="A16" s="51" t="str">
        <f>LEFT(A15,4)+1&amp;"–"&amp;RIGHT(A15,4)+1</f>
        <v>2027–2028</v>
      </c>
      <c r="B16" s="55">
        <v>8357263</v>
      </c>
      <c r="C16" s="55">
        <v>821777</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8320239</v>
      </c>
      <c r="C17" s="55">
        <v>619565</v>
      </c>
      <c r="D17" s="198">
        <v>52611</v>
      </c>
      <c r="E17" s="198"/>
      <c r="F17" s="198"/>
      <c r="G17" s="31"/>
      <c r="H17" s="31"/>
      <c r="I17" s="31"/>
      <c r="J17" s="31"/>
      <c r="K17" s="31"/>
    </row>
    <row r="18" spans="1:13" ht="15" customHeight="1" x14ac:dyDescent="0.25">
      <c r="A18" s="51" t="str">
        <f>LEFT(A17,4)+1&amp;"–"&amp;RIGHT(A17,4)+5</f>
        <v>2029–2034</v>
      </c>
      <c r="B18" s="55">
        <v>20959892</v>
      </c>
      <c r="C18" s="55">
        <v>781529</v>
      </c>
      <c r="D18" s="202" t="s">
        <v>6</v>
      </c>
      <c r="E18" s="203"/>
      <c r="F18" s="203"/>
      <c r="G18" s="29"/>
      <c r="H18" s="29"/>
      <c r="I18" s="29"/>
      <c r="J18" s="29"/>
      <c r="K18" s="29"/>
      <c r="L18" s="29"/>
      <c r="M18" s="29"/>
    </row>
    <row r="19" spans="1:13" x14ac:dyDescent="0.2">
      <c r="A19" s="51" t="str">
        <f t="shared" ref="A19:A32" si="0">LEFT(A18,4)+5&amp;"–"&amp;RIGHT(A18,4)+5</f>
        <v>2034–2039</v>
      </c>
      <c r="B19" s="55">
        <v>0</v>
      </c>
      <c r="C19" s="55">
        <v>0</v>
      </c>
      <c r="D19" s="202"/>
      <c r="E19" s="203"/>
      <c r="F19" s="203"/>
    </row>
    <row r="20" spans="1:13" ht="15.75" x14ac:dyDescent="0.2">
      <c r="A20" s="51" t="str">
        <f t="shared" si="0"/>
        <v>2039–2044</v>
      </c>
      <c r="B20" s="55">
        <v>0</v>
      </c>
      <c r="C20" s="55">
        <v>0</v>
      </c>
      <c r="D20" s="198" t="s">
        <v>124</v>
      </c>
      <c r="E20" s="198"/>
      <c r="F20" s="198"/>
      <c r="G20" s="30"/>
      <c r="H20" s="30"/>
      <c r="I20" s="30"/>
      <c r="J20" s="30"/>
      <c r="K20" s="30"/>
      <c r="L20" s="30"/>
      <c r="M20" s="30"/>
    </row>
    <row r="21" spans="1:13" ht="15" customHeight="1" x14ac:dyDescent="0.2">
      <c r="A21" s="51" t="str">
        <f t="shared" si="0"/>
        <v>2044–2049</v>
      </c>
      <c r="B21" s="55">
        <v>0</v>
      </c>
      <c r="C21" s="55">
        <v>0</v>
      </c>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v>0</v>
      </c>
      <c r="C22" s="55">
        <v>0</v>
      </c>
      <c r="D22" s="204"/>
      <c r="E22" s="201"/>
      <c r="F22" s="201"/>
    </row>
    <row r="23" spans="1:13" x14ac:dyDescent="0.2">
      <c r="A23" s="51" t="str">
        <f t="shared" si="0"/>
        <v>2054–2059</v>
      </c>
      <c r="B23" s="55">
        <v>0</v>
      </c>
      <c r="C23" s="55">
        <v>0</v>
      </c>
      <c r="D23" s="198">
        <v>0</v>
      </c>
      <c r="E23" s="198"/>
      <c r="F23" s="198"/>
    </row>
    <row r="24" spans="1:13" x14ac:dyDescent="0.2">
      <c r="A24" s="51" t="str">
        <f t="shared" si="0"/>
        <v>2059–2064</v>
      </c>
      <c r="B24" s="55">
        <v>0</v>
      </c>
      <c r="C24" s="55">
        <v>0</v>
      </c>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v>0</v>
      </c>
      <c r="C25" s="55">
        <v>0</v>
      </c>
      <c r="D25" s="204"/>
      <c r="E25" s="201"/>
      <c r="F25" s="201"/>
    </row>
    <row r="26" spans="1:13" x14ac:dyDescent="0.2">
      <c r="A26" s="51" t="str">
        <f t="shared" si="0"/>
        <v>2069–2074</v>
      </c>
      <c r="B26" s="55">
        <v>0</v>
      </c>
      <c r="C26" s="55">
        <v>0</v>
      </c>
      <c r="D26" s="198">
        <v>0</v>
      </c>
      <c r="E26" s="198"/>
      <c r="F26" s="198"/>
    </row>
    <row r="27" spans="1:13" ht="15" customHeight="1" x14ac:dyDescent="0.2">
      <c r="A27" s="51" t="str">
        <f t="shared" si="0"/>
        <v>2074–2079</v>
      </c>
      <c r="B27" s="55">
        <v>0</v>
      </c>
      <c r="C27" s="55">
        <v>0</v>
      </c>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v>0</v>
      </c>
      <c r="C28" s="55">
        <v>0</v>
      </c>
      <c r="D28" s="202"/>
      <c r="E28" s="203"/>
      <c r="F28" s="203"/>
      <c r="G28" s="33"/>
      <c r="H28" s="33"/>
      <c r="I28" s="33"/>
      <c r="J28" s="33"/>
      <c r="K28" s="33"/>
      <c r="L28" s="33"/>
      <c r="M28" s="33"/>
    </row>
    <row r="29" spans="1:13" ht="15.75" x14ac:dyDescent="0.2">
      <c r="A29" s="51" t="str">
        <f t="shared" si="0"/>
        <v>2084–2089</v>
      </c>
      <c r="B29" s="55">
        <v>0</v>
      </c>
      <c r="C29" s="55">
        <v>0</v>
      </c>
      <c r="D29" s="198">
        <v>0</v>
      </c>
      <c r="E29" s="198"/>
      <c r="F29" s="198"/>
      <c r="G29" s="33"/>
      <c r="H29" s="33"/>
      <c r="I29" s="33"/>
      <c r="J29" s="33"/>
      <c r="K29" s="33"/>
      <c r="L29" s="33"/>
      <c r="M29" s="33"/>
    </row>
    <row r="30" spans="1:13" ht="15.75" x14ac:dyDescent="0.2">
      <c r="A30" s="51" t="str">
        <f t="shared" si="0"/>
        <v>2089–2094</v>
      </c>
      <c r="B30" s="55">
        <v>0</v>
      </c>
      <c r="C30" s="55">
        <v>0</v>
      </c>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v>0</v>
      </c>
      <c r="C31" s="55">
        <v>0</v>
      </c>
      <c r="D31" s="198" t="s">
        <v>124</v>
      </c>
      <c r="E31" s="198"/>
      <c r="F31" s="198"/>
    </row>
    <row r="32" spans="1:13" x14ac:dyDescent="0.2">
      <c r="A32" s="51" t="str">
        <f t="shared" si="0"/>
        <v>2099–2104</v>
      </c>
      <c r="B32" s="55">
        <v>0</v>
      </c>
      <c r="C32" s="55">
        <v>0</v>
      </c>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v>0</v>
      </c>
      <c r="C33" s="55">
        <v>0</v>
      </c>
      <c r="D33" s="198">
        <v>0</v>
      </c>
      <c r="E33" s="198"/>
      <c r="F33" s="198"/>
    </row>
    <row r="34" spans="1:13" ht="15" customHeight="1" x14ac:dyDescent="0.2">
      <c r="A34" s="51" t="str">
        <f>LEFT(A33,4)+5&amp;"–"&amp;RIGHT(A33,4)+5</f>
        <v>2109–2114</v>
      </c>
      <c r="B34" s="55">
        <v>0</v>
      </c>
      <c r="C34" s="55">
        <v>0</v>
      </c>
      <c r="G34" s="27"/>
      <c r="H34" s="27"/>
      <c r="I34" s="27"/>
      <c r="J34" s="27"/>
      <c r="K34" s="27"/>
      <c r="L34" s="27"/>
      <c r="M34" s="27"/>
    </row>
    <row r="35" spans="1:13" ht="16.5" customHeight="1" x14ac:dyDescent="0.2">
      <c r="A35" s="51" t="str">
        <f>LEFT(A34,4)+5&amp;"–"&amp;RIGHT(A34,4)+5</f>
        <v>2114–2119</v>
      </c>
      <c r="B35" s="55">
        <v>0</v>
      </c>
      <c r="C35" s="55">
        <v>0</v>
      </c>
      <c r="G35" s="4"/>
      <c r="H35" s="4"/>
      <c r="I35" s="4"/>
      <c r="J35" s="4"/>
      <c r="K35" s="4"/>
      <c r="L35" s="4"/>
      <c r="M35" s="4"/>
    </row>
    <row r="36" spans="1:13" ht="15" customHeight="1" x14ac:dyDescent="0.2">
      <c r="A36" s="51" t="str">
        <f>LEFT(A35,4)+5&amp;"–"&amp;RIGHT(A35,4)+5</f>
        <v>2119–2124</v>
      </c>
      <c r="B36" s="55">
        <v>0</v>
      </c>
      <c r="C36" s="55">
        <v>0</v>
      </c>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7600</v>
      </c>
      <c r="C40" s="213"/>
      <c r="E40" s="32"/>
    </row>
    <row r="41" spans="1:13" ht="15.75" x14ac:dyDescent="0.25">
      <c r="A41" s="5" t="s">
        <v>191</v>
      </c>
      <c r="B41" s="197" t="str">
        <f>B10</f>
        <v>California Department of Tax and Fee Administration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7600</v>
      </c>
      <c r="C71" s="213"/>
    </row>
    <row r="72" spans="1:13" ht="15.75" x14ac:dyDescent="0.25">
      <c r="A72" s="5" t="s">
        <v>191</v>
      </c>
      <c r="B72" s="197" t="str">
        <f>B10</f>
        <v>California Department of Tax and Fee Administration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7600 - California Department of Tax and Fee Administration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 Journal Entries'!$F$8="Governmental Fund",'LS-Fund #### Journal Entries'!$K$23,0)</f>
        <v>36172962</v>
      </c>
      <c r="G10" s="58"/>
      <c r="H10" s="61">
        <f>IF('LS-Fund #### Journal Entries'!$F$8="Governmental Fund",SUM('LS-Fund #### Journal Entries'!$K$48,'LS-Fund #### Journal Entries'!K113),0)</f>
        <v>50336156</v>
      </c>
      <c r="I10" s="58"/>
      <c r="J10" s="61">
        <f>IF('LS-Fund #### Journal Entries'!$F$8="Governmental Fund",SUM('LS-Fund #### Journal Entries'!$J$68,'LS-Fund #### Journal Entries'!J96),0)</f>
        <v>23560990</v>
      </c>
      <c r="K10" s="58"/>
      <c r="L10" s="63">
        <f>SUM(F10+H10-J10)</f>
        <v>62948128</v>
      </c>
      <c r="M10" s="58"/>
      <c r="N10" s="61">
        <f>IF('LS-Fund #### Journal Entries'!$F$8="Governmental Fund",'LS-Fund #### Journal Entries'!$K$76,0)</f>
        <v>8532139</v>
      </c>
      <c r="O10" s="58"/>
      <c r="P10" s="63">
        <f>L10-N10</f>
        <v>54415989</v>
      </c>
      <c r="Q10" s="43"/>
    </row>
    <row r="11" spans="2:17" ht="19.5" thickTop="1" thickBot="1" x14ac:dyDescent="0.3">
      <c r="B11" s="41"/>
      <c r="C11" s="45" t="s">
        <v>18</v>
      </c>
      <c r="F11" s="62">
        <f>SUM(F10:F10)</f>
        <v>36172962</v>
      </c>
      <c r="G11" s="58"/>
      <c r="H11" s="62">
        <f>SUM(H10:H10)</f>
        <v>50336156</v>
      </c>
      <c r="I11" s="58"/>
      <c r="J11" s="62">
        <f>SUM(J10:J10)</f>
        <v>23560990</v>
      </c>
      <c r="K11" s="58"/>
      <c r="L11" s="62">
        <f>SUM(L10:L10)</f>
        <v>62948128</v>
      </c>
      <c r="M11" s="58"/>
      <c r="N11" s="62">
        <f>SUM(N10:N10)</f>
        <v>8532139</v>
      </c>
      <c r="O11" s="58"/>
      <c r="P11" s="62">
        <f>SUM(P10:P10)</f>
        <v>54415989</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 Journal Entries'!$F$8="Proprietary - Internal Service Fund",'LS-Fund #### Journal Entries'!$K$23,0)</f>
        <v>0</v>
      </c>
      <c r="G14" s="58"/>
      <c r="H14" s="61">
        <f>IF('LS-Fund #### Journal Entries'!$F$8="Proprietary - Internal Service Fund",SUM('LS-Fund #### Journal Entries'!$K$48,'LS-Fund #### Journal Entries'!K113),0)</f>
        <v>0</v>
      </c>
      <c r="I14" s="58"/>
      <c r="J14" s="61">
        <f>IF('LS-Fund #### Journal Entries'!$F$8="Proprietary - Internal Service Fund",SUM('LS-Fund #### Journal Entries'!$J$68,'LS-Fund #### Journal Entries'!J96),0)</f>
        <v>0</v>
      </c>
      <c r="K14" s="58"/>
      <c r="L14" s="63">
        <f>SUM(F14+H14-J14)</f>
        <v>0</v>
      </c>
      <c r="M14" s="58"/>
      <c r="N14" s="61">
        <f>IF('LS-Fund #### Journal Entries'!$F$8="Proprietary - Internal Service Fund",'LS-Fund ####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 Journal Entries'!$F$8="Proprietary - Enterprise Fund",'LS-Fund #### Journal Entries'!$K$23,0)</f>
        <v>0</v>
      </c>
      <c r="G18" s="58"/>
      <c r="H18" s="61">
        <f>IF('LS-Fund #### Journal Entries'!$F$8="Proprietary - Enterprise Fund",SUM('LS-Fund #### Journal Entries'!$K$48,'LS-Fund #### Journal Entries'!K113),0)</f>
        <v>0</v>
      </c>
      <c r="I18" s="58"/>
      <c r="J18" s="61">
        <f>IF('LS-Fund #### Journal Entries'!$F$8="Proprietary - Enterprise Fund",SUM('LS-Fund #### Journal Entries'!$J$68,'LS-Fund #### Journal Entries'!J96),0)</f>
        <v>0</v>
      </c>
      <c r="K18" s="58"/>
      <c r="L18" s="63">
        <f>SUM(F18+H18-J18)</f>
        <v>0</v>
      </c>
      <c r="M18" s="58"/>
      <c r="N18" s="61">
        <f>IF('LS-Fund #### Journal Entries'!$F$8="Proprietary - Enterprise Fund",'LS-Fund ####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3" zoomScale="112" zoomScaleNormal="112" workbookViewId="0">
      <selection activeCell="H16" sqref="H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 Journal Entries'!$F$8="Governmental Fund",'LS-Fund #### Journal Entries'!$K$23,0)</f>
        <v>36172962</v>
      </c>
      <c r="C16" s="116" t="s">
        <v>145</v>
      </c>
      <c r="D16" s="84">
        <f>IF('LS-Fund #### Journal Entries'!$F$8="Governmental Fund",'LS-Fund #### Journal Entries'!$K$48,0)</f>
        <v>50336156</v>
      </c>
      <c r="E16" s="118" t="s">
        <v>146</v>
      </c>
      <c r="F16" s="84">
        <f>IF('LS-Fund #### Journal Entries'!$F$8="Governmental Fund",'LS-Fund #### Journal Entries'!$J$68,0)</f>
        <v>7919728</v>
      </c>
      <c r="G16" s="117" t="s">
        <v>146</v>
      </c>
      <c r="H16" s="84">
        <f>IF('LS-Fund #### Journal Entries'!$F$8="Governmental Fund",'LS-Fund #### Journal Entries'!$J$96,0)</f>
        <v>15641262</v>
      </c>
      <c r="I16" s="117" t="s">
        <v>145</v>
      </c>
      <c r="J16" s="84">
        <f>IF('LS-Fund #### Journal Entries'!$F$8="Governmental Fund",'LS-Fund #### Journal Entries'!$K$113,0)</f>
        <v>0</v>
      </c>
      <c r="K16" s="118" t="s">
        <v>149</v>
      </c>
      <c r="L16" s="87">
        <f>+B16+D16-F16-H16+J16</f>
        <v>62948128</v>
      </c>
      <c r="M16" s="86"/>
      <c r="N16" s="88">
        <f>SUM('LS-Department Note Disclosure'!B13:B36)</f>
        <v>62948128</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 Journal Entries'!$F$8="Proprietary - Internal Service Fund",'LS-Fund #### Journal Entries'!$K$23,0)</f>
        <v>0</v>
      </c>
      <c r="C24" s="116" t="s">
        <v>145</v>
      </c>
      <c r="D24" s="84">
        <f>IF('LS-Fund #### Journal Entries'!$F$8="Proprietary - Internal Service Fund",'LS-Fund #### Journal Entries'!$K$48,0)</f>
        <v>0</v>
      </c>
      <c r="E24" s="118" t="s">
        <v>146</v>
      </c>
      <c r="F24" s="84">
        <f>IF('LS-Fund #### Journal Entries'!$F$8="Proprietary - Internal Service Fund",'LS-Fund #### Journal Entries'!$J$68,0)</f>
        <v>0</v>
      </c>
      <c r="G24" s="117" t="s">
        <v>146</v>
      </c>
      <c r="H24" s="84">
        <f>IF('LS-Fund #### Journal Entries'!$F$8="Proprietary - Internal Service Fund",'LS-Fund #### Journal Entries'!$J$96,0)</f>
        <v>0</v>
      </c>
      <c r="I24" s="117" t="s">
        <v>145</v>
      </c>
      <c r="J24" s="84">
        <f>IF('LS-Fund #### Journal Entries'!$F$8="Proprietary - Internal Service Fund",'LS-Fund ####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 Journal Entries'!$F$8="Proprietary - Enterprise Fund",'LS-Fund #### Journal Entries'!$K$23,0)</f>
        <v>0</v>
      </c>
      <c r="C33" s="116" t="s">
        <v>145</v>
      </c>
      <c r="D33" s="84">
        <f>IF('LS-Fund #### Journal Entries'!$F$8="Proprietary - Enterprise Fund",'LS-Fund #### Journal Entries'!$K$48,0)</f>
        <v>0</v>
      </c>
      <c r="E33" s="118" t="s">
        <v>146</v>
      </c>
      <c r="F33" s="84">
        <f>IF('LS-Fund #### Journal Entries'!$F$8="Proprietary - Enterprise Fund",'LS-Fund #### Journal Entries'!$J$68,0)</f>
        <v>0</v>
      </c>
      <c r="G33" s="117" t="s">
        <v>146</v>
      </c>
      <c r="H33" s="84">
        <f>IF('LS-Fund #### Journal Entries'!$F$8="Proprietary - Enterprise Fund",'LS-Fund #### Journal Entries'!$J$96,0)</f>
        <v>0</v>
      </c>
      <c r="I33" s="117" t="s">
        <v>145</v>
      </c>
      <c r="J33" s="84">
        <f>IF('LS-Fund #### Journal Entries'!$F$8="Proprietary - Enterprise Fund",'LS-Fund ####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 Journal Entries'!$F$8="Governmental Fund",'LS-Fund #### Journal Entries'!$K$76,0)</f>
        <v>8532139</v>
      </c>
      <c r="C42" s="92"/>
      <c r="E42" s="92"/>
      <c r="G42" s="115"/>
      <c r="H42" s="115"/>
      <c r="I42" s="115"/>
      <c r="J42" s="115"/>
      <c r="K42" s="92"/>
      <c r="L42" s="92"/>
      <c r="M42" s="93"/>
      <c r="N42" s="88">
        <f>'LS-Department Note Disclosure'!B13</f>
        <v>8532139</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 Journal Entries'!$F$8="Proprietary - Internal Service Fund",'LS-Fund ####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 Journal Entries'!$F$8="Proprietary - Enterprise Fund",'LS-Fund ####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36172962</v>
      </c>
      <c r="J66" s="97">
        <f>SUM(D66)</f>
        <v>36172962</v>
      </c>
      <c r="L66" s="98" t="str">
        <f>CONCATENATE("Balance July 1, ",LEFT('LS-Department Note Disclosure'!$B$8,4))</f>
        <v>Balance July 1, 2023</v>
      </c>
      <c r="N66" s="97">
        <f>'LS-Lease Liabilities'!F10</f>
        <v>36172962</v>
      </c>
      <c r="P66" s="89">
        <f>J66-N66</f>
        <v>0</v>
      </c>
    </row>
    <row r="67" spans="1:17" x14ac:dyDescent="0.25">
      <c r="B67" s="79" t="s">
        <v>156</v>
      </c>
      <c r="D67" s="97">
        <f>$D$16</f>
        <v>50336156</v>
      </c>
      <c r="E67" s="119" t="s">
        <v>145</v>
      </c>
      <c r="F67" s="79" t="s">
        <v>1681</v>
      </c>
      <c r="H67" s="97">
        <f>$J$16</f>
        <v>0</v>
      </c>
      <c r="J67" s="97">
        <f>SUM(D67,H67)</f>
        <v>50336156</v>
      </c>
      <c r="L67" s="98" t="s">
        <v>12</v>
      </c>
      <c r="N67" s="97">
        <f>'LS-Lease Liabilities'!H10</f>
        <v>50336156</v>
      </c>
      <c r="P67" s="89">
        <f t="shared" ref="P67:P69" si="0">J67-N67</f>
        <v>0</v>
      </c>
    </row>
    <row r="68" spans="1:17" x14ac:dyDescent="0.25">
      <c r="B68" s="79" t="s">
        <v>151</v>
      </c>
      <c r="D68" s="97">
        <f>$F$16</f>
        <v>7919728</v>
      </c>
      <c r="E68" s="119" t="s">
        <v>145</v>
      </c>
      <c r="F68" s="79" t="s">
        <v>1678</v>
      </c>
      <c r="H68" s="97">
        <f>$H$16</f>
        <v>15641262</v>
      </c>
      <c r="J68" s="97">
        <f>SUM(D68,H68)</f>
        <v>23560990</v>
      </c>
      <c r="L68" s="98" t="s">
        <v>13</v>
      </c>
      <c r="N68" s="97">
        <f>'LS-Lease Liabilities'!J10</f>
        <v>23560990</v>
      </c>
      <c r="P68" s="89">
        <f t="shared" si="0"/>
        <v>0</v>
      </c>
    </row>
    <row r="69" spans="1:17" x14ac:dyDescent="0.25">
      <c r="B69" s="79" t="s">
        <v>155</v>
      </c>
      <c r="D69" s="97">
        <f>$B$42</f>
        <v>8532139</v>
      </c>
      <c r="J69" s="97">
        <f>SUM(D69)</f>
        <v>8532139</v>
      </c>
      <c r="L69" s="98" t="s">
        <v>14</v>
      </c>
      <c r="N69" s="97">
        <f>'LS-Lease Liabilities'!N10</f>
        <v>8532139</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 Journal Entries</vt:lpstr>
      <vt:lpstr>LS-Department Note Disclosure</vt:lpstr>
      <vt:lpstr>LS-Lease Liabilities</vt:lpstr>
      <vt:lpstr>LS-Check Figures  </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2025-01-14T16:34:18Z</dcterms:modified>
</cp:coreProperties>
</file>