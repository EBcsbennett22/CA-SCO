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SCO ARSW Review\BU 1115 CANNACTRL\"/>
    </mc:Choice>
  </mc:AlternateContent>
  <xr:revisionPtr revIDLastSave="0" documentId="13_ncr:1_{1A89327A-5CAD-4305-84AB-54F0A2BB4DB8}" xr6:coauthVersionLast="47" xr6:coauthVersionMax="47" xr10:uidLastSave="{00000000-0000-0000-0000-000000000000}"/>
  <bookViews>
    <workbookView xWindow="-120" yWindow="-120" windowWidth="24240" windowHeight="13140" tabRatio="921" firstSheet="2" activeTab="3" xr2:uid="{00000000-000D-0000-FFFF-FFFF00000000}"/>
  </bookViews>
  <sheets>
    <sheet name="Drop Down Menus" sheetId="1" state="hidden" r:id="rId1"/>
    <sheet name="qryIndex02a" sheetId="11" state="hidden" r:id="rId2"/>
    <sheet name="LS-Version Changes" sheetId="13" r:id="rId3"/>
    <sheet name="LS-Fund 3288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3288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2" l="1"/>
  <c r="N22" i="2"/>
  <c r="N23" i="2"/>
  <c r="B17" i="3" l="1"/>
  <c r="C13" i="3"/>
  <c r="B13" i="3"/>
  <c r="C17" i="3"/>
  <c r="C16" i="3"/>
  <c r="C15" i="3"/>
  <c r="C14" i="3"/>
  <c r="B16" i="3"/>
  <c r="B15" i="3"/>
  <c r="B14" i="3"/>
  <c r="K64" i="2"/>
  <c r="J63" i="2"/>
  <c r="K76" i="2" l="1"/>
  <c r="J75" i="2"/>
  <c r="K69" i="2"/>
  <c r="J68" i="2"/>
  <c r="J62" i="2"/>
  <c r="K58" i="2"/>
  <c r="J55" i="2"/>
  <c r="L69" i="2" l="1"/>
  <c r="M17" i="2"/>
  <c r="B63" i="2"/>
  <c r="J18" i="4"/>
  <c r="J14" i="4"/>
  <c r="J10" i="4"/>
  <c r="H18" i="4"/>
  <c r="H14" i="4"/>
  <c r="H10" i="4"/>
  <c r="N18" i="4"/>
  <c r="N14" i="4"/>
  <c r="N10" i="4"/>
  <c r="F18" i="4"/>
  <c r="F14" i="4"/>
  <c r="S20" i="2"/>
  <c r="Q24" i="2"/>
  <c r="P18" i="2"/>
  <c r="L62" i="2" l="1"/>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<sst xmlns="http://schemas.openxmlformats.org/spreadsheetml/2006/main" count="7718" uniqueCount="1717">
  <si>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</si>
  <si>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</si>
  <si>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</si>
  <si>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</si>
  <si>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</si>
  <si>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</si>
  <si>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</si>
  <si>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</si>
  <si>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</si>
  <si>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</si>
  <si>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</si>
  <si>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</si>
  <si>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</si>
  <si>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</si>
  <si>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</si>
  <si>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</si>
  <si>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</si>
  <si>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</si>
  <si>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</si>
  <si>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</si>
  <si>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</si>
  <si>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</si>
  <si>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</si>
  <si>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</si>
  <si>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</si>
  <si>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</si>
  <si>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</si>
  <si>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</si>
  <si>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</si>
  <si>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</si>
  <si>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</si>
  <si>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</si>
  <si>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</si>
  <si>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</si>
  <si>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</si>
  <si>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</si>
  <si>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</si>
  <si>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</si>
  <si>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</si>
  <si>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</si>
  <si>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</si>
  <si>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</si>
  <si>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</si>
  <si>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</si>
  <si>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</si>
  <si>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</si>
  <si>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</si>
  <si>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</si>
  <si>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</si>
  <si>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</si>
  <si>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</si>
  <si>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</si>
  <si>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</si>
  <si>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</si>
  <si>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</si>
  <si>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</si>
  <si>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</si>
  <si>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</si>
  <si>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</si>
  <si>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</si>
  <si>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</si>
  <si>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</si>
  <si>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</si>
  <si>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</si>
  <si>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</si>
  <si>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</si>
  <si>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</si>
  <si>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</si>
  <si>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</si>
  <si>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</si>
  <si>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</si>
  <si>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</si>
  <si>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</si>
  <si>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</si>
  <si>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</si>
  <si>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</si>
  <si>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</si>
  <si>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</si>
  <si>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</si>
  <si>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</si>
  <si>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</si>
  <si>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</si>
  <si>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</si>
  <si>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</si>
  <si>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</si>
  <si>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</si>
  <si>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</si>
  <si>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</si>
  <si>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</si>
  <si>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</si>
  <si>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</si>
  <si>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</si>
  <si>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</si>
  <si>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</si>
  <si>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</si>
  <si>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</si>
  <si>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</si>
  <si>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</si>
  <si>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</si>
  <si>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</si>
  <si>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</si>
  <si>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</si>
  <si>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</si>
  <si>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</si>
  <si>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</si>
  <si>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</si>
  <si>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</si>
  <si>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</si>
  <si>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</si>
  <si>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</si>
  <si>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</si>
  <si>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</si>
  <si>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</si>
  <si>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</si>
  <si>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</si>
  <si>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</si>
  <si>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</si>
  <si>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</si>
  <si>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</si>
  <si>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</si>
  <si>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</si>
  <si>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</si>
  <si>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</si>
  <si>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</si>
  <si>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</si>
  <si>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</si>
  <si>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</si>
  <si>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</si>
  <si>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</si>
  <si>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</si>
  <si>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</si>
  <si>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</si>
  <si>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</si>
  <si>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</si>
  <si>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</si>
  <si>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</si>
  <si>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</si>
  <si>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</si>
  <si>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</si>
  <si>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</si>
  <si>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</si>
  <si>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</si>
  <si>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</si>
  <si>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</si>
  <si>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</si>
  <si>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</si>
  <si>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</si>
  <si>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</si>
  <si>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</si>
  <si>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</si>
  <si>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</si>
  <si>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</si>
  <si>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</si>
  <si>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</si>
  <si>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</si>
  <si>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</si>
  <si>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</si>
  <si>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</si>
  <si>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</si>
  <si>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</si>
  <si>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</si>
  <si>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</si>
  <si>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</si>
  <si>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</si>
  <si>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</si>
  <si>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</si>
  <si>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</si>
  <si>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</si>
  <si>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</si>
  <si>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</si>
  <si>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</si>
  <si>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</si>
  <si>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</si>
  <si>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</si>
  <si>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</si>
  <si>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</si>
  <si>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</si>
  <si>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</si>
  <si>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</si>
  <si>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</si>
  <si>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</si>
  <si>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</si>
  <si>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</si>
  <si>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</si>
  <si>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</si>
  <si>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</si>
  <si>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</si>
  <si>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</si>
  <si>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</si>
  <si>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</si>
  <si>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</si>
  <si>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</si>
  <si>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</si>
  <si>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</si>
  <si>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</si>
  <si>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</si>
  <si>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</si>
  <si>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</si>
  <si>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</si>
  <si>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</si>
  <si>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</si>
  <si>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</si>
  <si>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</si>
  <si>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</si>
  <si>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</si>
  <si>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</si>
  <si>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</si>
  <si>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</si>
  <si>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</si>
  <si>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</si>
  <si>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</si>
  <si>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</si>
  <si>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</si>
  <si>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</si>
  <si>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</si>
  <si>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</si>
  <si>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</si>
  <si>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</si>
  <si>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</si>
  <si>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</si>
  <si>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</si>
  <si>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</si>
  <si>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</si>
  <si>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</si>
  <si>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</si>
  <si>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</si>
  <si>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</si>
  <si>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</si>
  <si>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</si>
  <si>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</si>
  <si>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</si>
  <si>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</si>
  <si>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</si>
  <si>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</si>
  <si>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</si>
  <si>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</si>
  <si>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</si>
  <si>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</si>
  <si>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</si>
  <si>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</si>
  <si>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</si>
  <si>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</si>
  <si>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</si>
  <si>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</si>
  <si>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</si>
  <si>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</si>
  <si>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</si>
  <si>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</si>
  <si>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</si>
  <si>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</si>
  <si>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</si>
  <si>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</si>
  <si>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</si>
  <si>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</si>
  <si>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</si>
  <si>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</si>
  <si>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</si>
  <si>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</si>
  <si>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</si>
  <si>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</si>
  <si>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</si>
  <si>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</si>
  <si>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</si>
  <si>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</si>
  <si>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</si>
  <si>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</si>
  <si>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</si>
  <si>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</si>
  <si>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</si>
  <si>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</si>
  <si>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</si>
  <si>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</si>
  <si>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</si>
  <si>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</si>
  <si>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</si>
  <si>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</si>
  <si>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</si>
  <si>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</si>
  <si>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</si>
  <si>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</si>
  <si>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</si>
  <si>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</si>
  <si>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</si>
  <si>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</si>
  <si>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</si>
  <si>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</si>
  <si>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</si>
  <si>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</si>
  <si>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</si>
  <si>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</si>
  <si>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</si>
  <si>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</si>
  <si>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</si>
  <si>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</si>
  <si>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</si>
  <si>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</si>
  <si>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</si>
  <si>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</si>
  <si>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</si>
  <si>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</si>
  <si>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</si>
  <si>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</si>
  <si>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</si>
  <si>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</si>
  <si>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</si>
  <si>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</si>
  <si>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</si>
  <si>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</si>
  <si>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</si>
  <si>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</si>
  <si>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</si>
  <si>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</si>
  <si>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</si>
  <si>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</si>
  <si>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</si>
  <si>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</si>
  <si>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</si>
  <si>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</si>
  <si>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</si>
  <si>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</si>
  <si>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</si>
  <si>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</si>
  <si>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</si>
  <si>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</si>
  <si>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</si>
  <si>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</si>
  <si>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</si>
  <si>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</si>
  <si>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</si>
  <si>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</si>
  <si>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</si>
  <si>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</si>
  <si>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</si>
  <si>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</si>
  <si>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</si>
  <si>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</si>
  <si>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</si>
  <si>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</si>
  <si>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</si>
  <si>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</si>
  <si>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</si>
  <si>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</si>
  <si>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</si>
  <si>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</si>
  <si>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</si>
  <si>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</si>
  <si>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</si>
  <si>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</si>
  <si>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</si>
  <si>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</si>
  <si>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</si>
  <si>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</si>
  <si>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</si>
  <si>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</si>
  <si>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</si>
  <si>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</si>
  <si>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</si>
  <si>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</si>
  <si>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</si>
  <si>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</si>
  <si>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</si>
  <si>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</si>
  <si>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</si>
  <si>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</si>
  <si>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</si>
  <si>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</si>
  <si>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</si>
  <si>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</si>
  <si>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</si>
  <si>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</si>
  <si>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</si>
  <si>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</si>
  <si>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</si>
  <si>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</si>
  <si>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</si>
  <si>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</si>
  <si>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</si>
  <si>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</si>
  <si>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</si>
  <si>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</si>
  <si>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</si>
  <si>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</si>
  <si>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</si>
  <si>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</si>
  <si>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</si>
  <si>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</si>
  <si>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</si>
  <si>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</si>
  <si>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</si>
  <si>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</si>
  <si>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</si>
  <si>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</si>
  <si>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</si>
  <si>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</si>
  <si>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</si>
  <si>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</si>
  <si>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</si>
  <si>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</si>
  <si>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</si>
  <si>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</si>
  <si>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</si>
  <si>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</si>
  <si>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</si>
  <si>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</si>
  <si>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</si>
  <si>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</si>
  <si>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</si>
  <si>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</si>
  <si>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</si>
  <si>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</si>
  <si>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</si>
  <si>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</si>
  <si>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</si>
  <si>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</si>
  <si>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</si>
  <si>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</si>
  <si>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</si>
  <si>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</si>
  <si>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</si>
  <si>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</si>
  <si>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</si>
  <si>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</si>
  <si>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</si>
  <si>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</si>
  <si>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</si>
  <si>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</si>
  <si>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</si>
  <si>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</si>
  <si>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</si>
  <si>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</si>
  <si>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</si>
  <si>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</si>
  <si>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</si>
  <si>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</si>
  <si>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</si>
  <si>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</si>
  <si>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</si>
  <si>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</si>
  <si>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</si>
  <si>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</si>
  <si>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</si>
  <si>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</si>
  <si>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</si>
  <si>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</si>
  <si>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</si>
  <si>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</si>
  <si>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</si>
  <si>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</si>
  <si>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</si>
  <si>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</si>
  <si>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</si>
  <si>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</si>
  <si>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</si>
  <si>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</si>
  <si>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</si>
  <si>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</si>
  <si>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</si>
  <si>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</si>
  <si>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</si>
  <si>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</si>
  <si>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</si>
  <si>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</si>
  <si>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</si>
  <si>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</si>
  <si>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</si>
  <si>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</si>
  <si>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</si>
  <si>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</si>
  <si>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</si>
  <si>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</si>
  <si>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</si>
  <si>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</si>
  <si>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</si>
  <si>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</si>
  <si>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</si>
  <si>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</si>
  <si>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</si>
  <si>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</si>
  <si>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</si>
  <si>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</si>
  <si>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</si>
  <si>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</si>
  <si>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</si>
  <si>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</si>
  <si>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</si>
  <si>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</si>
  <si>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</si>
  <si>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</si>
  <si>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</si>
  <si>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</si>
  <si>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</si>
  <si>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</si>
  <si>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</si>
  <si>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</si>
  <si>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</si>
  <si>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</si>
  <si>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</si>
  <si>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</si>
  <si>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</si>
  <si>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</si>
  <si>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</si>
  <si>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</si>
  <si>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</si>
  <si>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</si>
  <si>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</si>
  <si>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</si>
  <si>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</si>
  <si>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</si>
  <si>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</si>
  <si>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</si>
  <si>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</si>
  <si>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</si>
  <si>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</si>
  <si>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</si>
  <si>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</si>
  <si>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</si>
  <si>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</si>
  <si>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</si>
  <si>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</si>
  <si>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</si>
  <si>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</si>
  <si>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</si>
  <si>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</si>
  <si>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</si>
  <si>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</si>
  <si>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</si>
  <si>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</si>
  <si>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</si>
  <si>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</si>
  <si>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</si>
  <si>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</si>
  <si>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</si>
  <si>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</si>
  <si>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</si>
  <si>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</si>
  <si>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</si>
  <si>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</si>
  <si>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</si>
  <si>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</si>
  <si>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</si>
  <si>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</si>
  <si>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</si>
  <si>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</si>
  <si>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</si>
  <si>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</si>
  <si>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</si>
  <si>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</si>
  <si>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</si>
  <si>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</si>
  <si>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</si>
  <si>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</si>
  <si>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</si>
  <si>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</si>
  <si>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</si>
  <si>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</si>
  <si>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</si>
  <si>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</si>
  <si>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</si>
  <si>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</si>
  <si>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</si>
  <si>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</si>
  <si>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</si>
  <si>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</si>
  <si>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</si>
  <si>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</si>
  <si>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</si>
  <si>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</si>
  <si>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</si>
  <si>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</si>
  <si>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</si>
  <si>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</si>
  <si>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</si>
  <si>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</si>
  <si>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</si>
  <si>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</si>
  <si>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</si>
  <si>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</si>
  <si>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</si>
  <si>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</si>
  <si>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</si>
  <si>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</si>
  <si>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</si>
  <si>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</si>
  <si>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</si>
  <si>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</si>
  <si>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</si>
  <si>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</si>
  <si>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</si>
  <si>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</si>
  <si>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</si>
  <si>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</si>
  <si>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</si>
  <si>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</si>
  <si>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</si>
  <si>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</si>
  <si>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</si>
  <si>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</si>
  <si>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</si>
  <si>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</si>
  <si>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</si>
  <si>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</si>
  <si>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</si>
  <si>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</si>
  <si>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</si>
  <si>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</si>
  <si>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</si>
  <si>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</si>
  <si>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</si>
  <si>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</si>
  <si>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</si>
  <si>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</si>
  <si>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</si>
  <si>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</si>
  <si>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</si>
  <si>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</si>
  <si>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</si>
  <si>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</si>
  <si>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</si>
  <si>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</si>
  <si>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</si>
  <si>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</si>
  <si>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</si>
  <si>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</si>
  <si>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</si>
  <si>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</si>
  <si>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</si>
  <si>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</si>
  <si>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</si>
  <si>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</si>
  <si>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</si>
  <si>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</si>
  <si>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</si>
  <si>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</si>
  <si>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</si>
  <si>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</si>
  <si>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</si>
  <si>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</si>
  <si>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</si>
  <si>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</si>
  <si>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</si>
  <si>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</si>
  <si>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</si>
  <si>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</si>
  <si>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</si>
  <si>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</si>
  <si>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</si>
  <si>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</si>
  <si>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</si>
  <si>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</si>
  <si>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</si>
  <si>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</si>
  <si>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</si>
  <si>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</si>
  <si>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</si>
  <si>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</si>
  <si>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</si>
  <si>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</si>
  <si>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</si>
  <si>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</si>
  <si>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</si>
  <si>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</si>
  <si>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</si>
  <si>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</si>
  <si>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</si>
  <si>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</si>
  <si>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</si>
  <si>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</si>
  <si>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</si>
  <si>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</si>
  <si>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</si>
  <si>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</si>
  <si>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</si>
  <si>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</si>
  <si>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</si>
  <si>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</si>
  <si>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</si>
  <si>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</si>
  <si>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</si>
  <si>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</si>
  <si>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</si>
  <si>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</si>
  <si>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</si>
  <si>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</si>
  <si>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</si>
  <si>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</si>
  <si>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</si>
  <si>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</si>
  <si>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</si>
  <si>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</si>
  <si>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</si>
  <si>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</si>
  <si>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</si>
  <si>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</si>
  <si>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</si>
  <si>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</si>
  <si>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</si>
  <si>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</si>
  <si>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</si>
  <si>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</si>
  <si>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</si>
  <si>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</si>
  <si>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</si>
  <si>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</si>
  <si>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</si>
  <si>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</si>
  <si>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</si>
  <si>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</si>
  <si>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</si>
  <si>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</si>
  <si>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</si>
  <si>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</si>
  <si>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</si>
  <si>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</si>
  <si>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</si>
  <si>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</si>
  <si>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</si>
  <si>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</si>
  <si>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</si>
  <si>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</si>
  <si>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</si>
  <si>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</si>
  <si>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</si>
  <si>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</si>
  <si>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</si>
  <si>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</si>
  <si>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</si>
  <si>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</si>
  <si>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</si>
  <si>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</si>
  <si>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</si>
  <si>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</si>
  <si>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</si>
  <si>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</si>
  <si>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</si>
  <si>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</si>
  <si>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</si>
  <si>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</si>
  <si>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</si>
  <si>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</si>
  <si>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</si>
  <si>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</si>
  <si>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</si>
  <si>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</si>
  <si>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</si>
  <si>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</si>
  <si>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</si>
  <si>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</si>
  <si>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</si>
  <si>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</si>
  <si>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</si>
  <si>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</si>
  <si>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</si>
  <si>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</si>
  <si>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</si>
  <si>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</si>
  <si>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</si>
  <si>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</si>
  <si>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</si>
  <si>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</si>
  <si>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</si>
  <si>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</si>
  <si>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</si>
  <si>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</si>
  <si>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</si>
  <si>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</si>
  <si>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</si>
  <si>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</si>
  <si>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</si>
  <si>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</si>
  <si>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</si>
  <si>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</si>
  <si>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</si>
  <si>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</si>
  <si>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</si>
  <si>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</si>
  <si>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</si>
  <si>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</si>
  <si>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</si>
  <si>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</si>
  <si>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</si>
  <si>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</si>
  <si>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</si>
  <si>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</si>
  <si>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</si>
  <si>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</si>
  <si>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</si>
  <si>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</si>
  <si>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</si>
  <si>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</si>
  <si>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</si>
  <si>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</si>
  <si>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</si>
  <si>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</si>
  <si>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</si>
  <si>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</si>
  <si>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</si>
  <si>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</si>
  <si>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</si>
  <si>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</si>
  <si>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</si>
  <si>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</si>
  <si>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</si>
  <si>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</si>
  <si>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</si>
  <si>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</si>
  <si>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</si>
  <si>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</si>
  <si>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</si>
  <si>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</si>
  <si>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</si>
  <si>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</si>
  <si>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</si>
  <si>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</si>
  <si>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</si>
  <si>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</si>
  <si>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</si>
  <si>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</si>
  <si>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</si>
  <si>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</si>
  <si>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</si>
  <si>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</si>
  <si>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</si>
  <si>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</si>
  <si>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</si>
  <si>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</si>
  <si>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</si>
  <si>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</si>
  <si>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</si>
  <si>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</si>
  <si>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</si>
  <si>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</si>
  <si>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</si>
  <si>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</si>
  <si>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</si>
  <si>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</si>
  <si>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</si>
  <si>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</si>
  <si>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</si>
  <si>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</si>
  <si>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</si>
  <si>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</si>
  <si>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</si>
  <si>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</si>
  <si>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</si>
  <si>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</si>
  <si>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</si>
  <si>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</si>
  <si>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</si>
  <si>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</si>
  <si>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</si>
  <si>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</si>
  <si>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</si>
  <si>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</si>
  <si>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</si>
  <si>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</si>
  <si>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</si>
  <si>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</si>
  <si>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</si>
  <si>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</si>
  <si>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</si>
  <si>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</si>
  <si>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</si>
  <si>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</si>
  <si>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</si>
  <si>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</si>
  <si>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</si>
  <si>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</si>
  <si>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</si>
  <si>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</si>
  <si>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</si>
  <si>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</si>
  <si>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</si>
  <si>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</si>
  <si>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</si>
  <si>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</si>
  <si>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</si>
  <si>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</si>
  <si>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</si>
  <si>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</si>
  <si>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</si>
  <si>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</si>
  <si>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</si>
  <si>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</si>
  <si>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</si>
  <si>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</si>
  <si>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</si>
  <si>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</si>
  <si>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</si>
  <si>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</si>
  <si>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</si>
  <si>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</si>
  <si>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</si>
  <si>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</si>
  <si>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</si>
  <si>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</si>
  <si>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</si>
  <si>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</si>
  <si>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</si>
  <si>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</si>
  <si>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</si>
  <si>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</si>
  <si>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</si>
  <si>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</si>
  <si>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</si>
  <si>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</si>
  <si>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</si>
  <si>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</si>
  <si>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</si>
  <si>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</si>
  <si>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</si>
  <si>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</si>
  <si>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</si>
  <si>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</si>
  <si>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</si>
  <si>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</si>
  <si>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</si>
  <si>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</si>
  <si>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</si>
  <si>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</si>
  <si>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</si>
  <si>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</si>
  <si>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</si>
  <si>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</si>
  <si>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</si>
  <si>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</si>
  <si>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</si>
  <si>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</si>
  <si>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</si>
  <si>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</si>
  <si>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</si>
  <si>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</si>
  <si>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</si>
  <si>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</si>
  <si>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</si>
  <si>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</si>
  <si>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</si>
  <si>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</si>
  <si>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</si>
  <si>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</si>
  <si>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</si>
  <si>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</si>
  <si>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</si>
  <si>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</si>
  <si>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</si>
  <si>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</si>
  <si>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</si>
  <si>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</si>
  <si>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</si>
  <si>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</si>
  <si>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</si>
  <si>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</si>
  <si>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</si>
  <si>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</si>
  <si>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</si>
  <si>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</si>
  <si>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</si>
  <si>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</si>
  <si>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</si>
  <si>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</si>
  <si>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</si>
  <si>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</si>
  <si>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</si>
  <si>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</si>
  <si>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</si>
  <si>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</si>
  <si>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</si>
  <si>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</si>
  <si>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</si>
  <si>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</si>
  <si>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</si>
  <si>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</si>
  <si>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</si>
  <si>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</si>
  <si>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</si>
  <si>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</si>
  <si>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</si>
  <si>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</si>
  <si>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</si>
  <si>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</si>
  <si>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</si>
  <si>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</si>
  <si>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</si>
  <si>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</si>
  <si>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</si>
  <si>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</si>
  <si>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</si>
  <si>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</si>
  <si>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</si>
  <si>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</si>
  <si>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</si>
  <si>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</si>
  <si>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</si>
  <si>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</si>
  <si>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</si>
  <si>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</si>
  <si>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</si>
  <si>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</si>
  <si>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</si>
  <si>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</si>
  <si>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</si>
  <si>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</si>
  <si>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</si>
  <si>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</si>
  <si>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</si>
  <si>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</si>
  <si>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</si>
  <si>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</si>
  <si>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</si>
  <si>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</si>
  <si>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</si>
  <si>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</si>
  <si>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</si>
  <si>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</si>
  <si>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</si>
  <si>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</si>
  <si>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</si>
  <si>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</si>
  <si>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</si>
  <si>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</si>
  <si>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</si>
  <si>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</si>
  <si>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</si>
  <si>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</si>
  <si>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</si>
  <si>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</si>
  <si>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</si>
  <si>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</si>
  <si>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</si>
  <si>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</si>
  <si>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</si>
  <si>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</si>
  <si>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</si>
  <si>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</si>
  <si>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</si>
  <si>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</si>
  <si>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</si>
  <si>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</si>
  <si>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</si>
  <si>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</si>
  <si>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</si>
  <si>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</si>
  <si>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</si>
  <si>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</si>
  <si>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</si>
  <si>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</si>
  <si>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</si>
  <si>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</si>
  <si>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</si>
  <si>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</si>
  <si>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</si>
  <si>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</si>
  <si>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</si>
  <si>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</si>
  <si>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</si>
  <si>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</si>
  <si>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</si>
  <si>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</si>
  <si>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</si>
  <si>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</si>
  <si>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</si>
  <si>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</si>
  <si>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</si>
  <si>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</si>
  <si>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</si>
  <si>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</si>
  <si>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</si>
  <si>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</si>
  <si>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</si>
  <si>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</si>
  <si>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</si>
  <si>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</si>
  <si>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</si>
  <si>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</si>
  <si>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</si>
  <si>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</si>
  <si>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</si>
  <si>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</si>
  <si>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</si>
  <si>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</si>
  <si>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</si>
  <si>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</si>
  <si>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</si>
  <si>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</si>
  <si>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</si>
  <si>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</si>
  <si>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</si>
  <si>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</si>
  <si>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</si>
  <si>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</si>
  <si>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</si>
  <si>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</si>
  <si>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</si>
  <si>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</si>
  <si>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</si>
  <si>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</si>
  <si>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</si>
  <si>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</si>
  <si>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</si>
  <si>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</si>
  <si>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</si>
  <si>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</si>
  <si>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</si>
  <si>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</si>
  <si>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</si>
  <si>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</si>
  <si>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</si>
  <si>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</si>
  <si>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</si>
  <si>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</si>
  <si>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</si>
  <si>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</si>
  <si>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</si>
  <si>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</si>
  <si>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</si>
  <si>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</si>
  <si>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</si>
  <si>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</si>
  <si>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</si>
  <si>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</si>
  <si>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</si>
  <si>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</si>
  <si>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</si>
  <si>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</si>
  <si>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</si>
  <si>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</si>
  <si>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</si>
  <si>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</si>
  <si>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</si>
  <si>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</si>
  <si>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</si>
  <si>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</si>
  <si>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</si>
  <si>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</si>
  <si>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</si>
  <si>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</si>
  <si>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</si>
  <si>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</si>
  <si>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</si>
  <si>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</si>
  <si>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</si>
  <si>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</si>
  <si>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</si>
  <si>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</si>
  <si>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</si>
  <si>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</si>
  <si>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</si>
  <si>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</si>
  <si>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</si>
  <si>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</si>
  <si>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</si>
  <si>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</si>
  <si>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</si>
  <si>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</si>
  <si>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</si>
  <si>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</si>
  <si>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</si>
  <si>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</si>
  <si>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</si>
  <si>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</si>
  <si>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</si>
  <si>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</si>
  <si>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</si>
  <si>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</si>
  <si>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</si>
  <si>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</si>
  <si>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</si>
  <si>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</si>
  <si>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</si>
  <si>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</si>
  <si>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</si>
  <si>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</si>
  <si>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</si>
  <si>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</si>
  <si>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</si>
  <si>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</si>
  <si>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</si>
  <si>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</si>
  <si>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</si>
  <si>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</si>
  <si>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</si>
  <si>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</si>
  <si>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</si>
  <si>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</si>
  <si>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</si>
  <si>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</si>
  <si>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</si>
  <si>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</si>
  <si>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</si>
  <si>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</si>
  <si>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</si>
  <si>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</si>
  <si>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</si>
  <si>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</si>
  <si>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</si>
  <si>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</si>
  <si>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</si>
  <si>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</si>
  <si>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</si>
  <si>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</si>
  <si>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</si>
  <si>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</si>
  <si>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</si>
  <si>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</si>
  <si>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</si>
  <si>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</si>
  <si>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</si>
  <si>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</si>
  <si>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</si>
  <si>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</si>
  <si>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</si>
  <si>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</si>
  <si>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</si>
  <si>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</si>
  <si>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</si>
  <si>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</si>
  <si>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</si>
  <si>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</si>
  <si>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</si>
  <si>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</si>
  <si>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</si>
  <si>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</si>
  <si>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</si>
  <si>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</si>
  <si>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</si>
  <si>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</si>
  <si>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</si>
  <si>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</si>
  <si>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</si>
  <si>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</si>
  <si>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</si>
  <si>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</si>
  <si>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</si>
  <si>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</si>
  <si>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</si>
  <si>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</si>
  <si>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</si>
  <si>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</si>
  <si>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</si>
  <si>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</si>
  <si>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</si>
  <si>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</si>
  <si>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</si>
  <si>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</si>
  <si>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</si>
  <si>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</si>
  <si>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</si>
  <si>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</si>
  <si>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</si>
  <si>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</si>
  <si>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</si>
  <si>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</si>
  <si>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</si>
  <si>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</si>
  <si>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</si>
  <si>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</si>
  <si>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</si>
  <si>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</si>
  <si>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</si>
  <si>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</si>
  <si>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</si>
  <si>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</si>
  <si>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</si>
  <si>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</si>
  <si>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</si>
  <si>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</si>
  <si>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</si>
  <si>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</si>
  <si>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</si>
  <si>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</si>
  <si>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</si>
  <si>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</si>
  <si>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</si>
  <si>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</si>
  <si>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</si>
  <si>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</si>
  <si>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</si>
  <si>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</si>
  <si>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</si>
  <si>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</si>
  <si>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</si>
  <si>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</si>
  <si>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</si>
  <si>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</si>
  <si>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</si>
  <si>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</si>
  <si>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</si>
  <si>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</si>
  <si>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</si>
  <si>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</si>
  <si>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</si>
  <si>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</si>
  <si>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</si>
  <si>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</si>
  <si>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</si>
  <si>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</si>
  <si>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</si>
  <si>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</si>
  <si>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</si>
  <si>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</si>
  <si>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</si>
  <si>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</si>
  <si>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</si>
  <si>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</si>
  <si>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</si>
  <si>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</si>
  <si>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</si>
  <si>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</si>
  <si>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</si>
  <si>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</si>
  <si>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</si>
  <si>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</si>
  <si>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</si>
  <si>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</si>
  <si>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</si>
  <si>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</si>
  <si>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</si>
  <si>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</si>
  <si>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</si>
  <si>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</si>
  <si>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</si>
  <si>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</si>
  <si>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</si>
  <si>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</si>
  <si>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</si>
  <si>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</si>
  <si>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</si>
  <si>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</si>
  <si>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</si>
  <si>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</si>
  <si>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</si>
  <si>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</si>
  <si>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</si>
  <si>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</si>
  <si>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</si>
  <si>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</si>
  <si>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</si>
  <si>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</si>
  <si>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</si>
  <si>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</si>
  <si>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</si>
  <si>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</si>
  <si>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</si>
  <si>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</si>
  <si>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</si>
  <si>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</si>
  <si>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</si>
  <si>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</si>
  <si>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</si>
  <si>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</si>
  <si>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</si>
  <si>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</si>
  <si>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</si>
  <si>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</si>
  <si>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</si>
  <si>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</si>
  <si>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</si>
  <si>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</si>
  <si>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</si>
  <si>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</si>
  <si>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</si>
  <si>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</si>
  <si>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</si>
  <si>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</si>
  <si>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</si>
  <si>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</si>
  <si>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</si>
  <si>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</si>
  <si>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</si>
  <si>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</si>
  <si>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</si>
  <si>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</si>
  <si>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</si>
  <si>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</si>
  <si>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</si>
  <si>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</si>
  <si>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</si>
  <si>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</si>
  <si>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</si>
  <si>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</si>
  <si>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</si>
  <si>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</si>
  <si>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</si>
  <si>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</si>
  <si>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</si>
  <si>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</si>
  <si>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</si>
  <si>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</si>
  <si>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</si>
  <si>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</si>
  <si>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</si>
  <si>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</si>
  <si>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</si>
  <si>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</si>
  <si>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</si>
  <si>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</si>
  <si>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</si>
  <si>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</si>
  <si>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</si>
  <si>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</si>
  <si>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</si>
  <si>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</si>
  <si>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</si>
  <si>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</si>
  <si>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</si>
  <si>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</si>
  <si>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</si>
  <si>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</si>
  <si>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</si>
  <si>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</si>
  <si>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</si>
  <si>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</si>
  <si>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</si>
  <si>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</si>
  <si>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</si>
  <si>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</si>
  <si>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</si>
  <si>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</si>
  <si>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</si>
  <si>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</si>
  <si>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</si>
  <si>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</si>
  <si>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</si>
  <si>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</si>
  <si>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</si>
  <si>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</si>
  <si>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</si>
  <si>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</si>
  <si>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</si>
  <si>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</si>
  <si>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</si>
  <si>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</si>
  <si>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</si>
  <si>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</si>
  <si>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</si>
  <si>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</si>
  <si>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</si>
  <si>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</si>
  <si>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</si>
  <si>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</si>
  <si>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</si>
  <si>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</si>
  <si>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</si>
  <si>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</si>
  <si>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</si>
  <si>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</si>
  <si>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</si>
  <si>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</si>
  <si>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</si>
  <si>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</si>
  <si>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</si>
  <si>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</si>
  <si>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</si>
  <si>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</si>
  <si>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</si>
  <si>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</si>
  <si>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</si>
  <si>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</si>
  <si>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</si>
  <si>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</si>
  <si>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</si>
  <si>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</si>
  <si>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</si>
  <si>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</si>
  <si>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</si>
  <si>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</si>
  <si>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</si>
  <si>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</si>
  <si>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</si>
  <si>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</si>
  <si>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</si>
  <si>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</si>
  <si>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</si>
  <si>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</si>
  <si>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</si>
  <si>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</si>
  <si>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</si>
  <si>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</si>
  <si>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</si>
  <si>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</si>
  <si>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</si>
  <si>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</si>
  <si>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</si>
  <si>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</si>
  <si>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</si>
  <si>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</si>
  <si>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</si>
  <si>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</si>
  <si>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</si>
  <si>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</si>
  <si>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</si>
  <si>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</si>
  <si>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</si>
  <si>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</si>
  <si>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</si>
  <si>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</si>
  <si>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</si>
  <si>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</si>
  <si>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</si>
  <si>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</si>
  <si>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</si>
  <si>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</si>
  <si>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</si>
  <si>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</si>
  <si>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</si>
  <si>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</si>
  <si>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</si>
  <si>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</si>
  <si>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</si>
  <si>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</si>
  <si>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</si>
  <si>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</si>
  <si>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</si>
  <si>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</si>
  <si>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</si>
  <si>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</si>
  <si>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</si>
  <si>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</si>
  <si>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</si>
  <si>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</si>
  <si>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</si>
  <si>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</si>
  <si>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</si>
  <si>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</si>
  <si>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</si>
  <si>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</si>
  <si>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</si>
  <si>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</si>
  <si>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</si>
  <si>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</si>
  <si>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</si>
  <si>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</si>
  <si>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</si>
  <si>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</si>
  <si>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</si>
  <si>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</si>
  <si>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</si>
  <si>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</si>
  <si>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</si>
  <si>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</si>
  <si>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</si>
  <si>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</si>
  <si>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</si>
  <si>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</si>
  <si>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</si>
  <si>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</si>
  <si>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</si>
  <si>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</si>
  <si>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</si>
  <si>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</si>
  <si>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</si>
  <si>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</si>
  <si>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</si>
  <si>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</si>
  <si>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</si>
  <si>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</si>
  <si>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</si>
  <si>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</si>
  <si>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</si>
  <si>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</si>
  <si>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</si>
  <si>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</si>
  <si>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</si>
  <si>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</si>
  <si>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</si>
  <si>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</si>
  <si>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</si>
  <si>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</si>
  <si>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</si>
  <si>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</si>
  <si>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</si>
  <si>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</si>
  <si>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</si>
  <si>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</si>
  <si>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</si>
  <si>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</si>
  <si>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</si>
  <si>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</si>
  <si>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</si>
  <si>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</si>
  <si>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</si>
  <si>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</si>
  <si>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</si>
  <si>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</si>
  <si>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</si>
  <si>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</si>
  <si>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</si>
  <si>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</si>
  <si>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</si>
  <si>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</si>
  <si>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</si>
  <si>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</si>
  <si>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</si>
  <si>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</si>
  <si>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</si>
  <si>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</si>
  <si>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</si>
  <si>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</si>
  <si>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</si>
  <si>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</si>
  <si>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</si>
  <si>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</si>
  <si>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</si>
  <si>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</si>
  <si>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</si>
  <si>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</si>
  <si>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</si>
  <si>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</si>
  <si>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</si>
  <si>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</si>
  <si>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</si>
  <si>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</si>
  <si>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</si>
  <si>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</si>
  <si>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</si>
  <si>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</si>
  <si>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</si>
  <si>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</si>
  <si>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</si>
  <si>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</si>
  <si>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</si>
  <si>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</si>
  <si>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</si>
  <si>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</si>
  <si>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</si>
  <si>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</si>
  <si>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</si>
  <si>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</si>
  <si>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</si>
  <si>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</si>
  <si>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</si>
  <si>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</si>
  <si>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</si>
  <si>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</si>
  <si>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</si>
  <si>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</si>
  <si>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</si>
  <si>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</si>
  <si>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</si>
  <si>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</si>
  <si>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</si>
  <si>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</si>
  <si>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</si>
  <si>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</si>
  <si>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</si>
  <si>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</si>
  <si>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</si>
  <si>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</si>
  <si>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</si>
  <si>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</si>
  <si>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</si>
  <si>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</si>
  <si>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</si>
  <si>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</si>
  <si>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</si>
  <si>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</si>
  <si>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</si>
  <si>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</si>
  <si>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</si>
  <si>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</si>
  <si>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</si>
  <si>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</si>
  <si>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</si>
  <si>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</si>
  <si>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</si>
  <si>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</si>
  <si>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</si>
  <si>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</si>
  <si>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</si>
  <si>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</si>
  <si>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</si>
  <si>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</si>
  <si>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</si>
  <si>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</si>
  <si>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</si>
  <si>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</si>
  <si>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</si>
  <si>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</si>
  <si>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</si>
  <si>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</si>
  <si>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</si>
  <si>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</si>
  <si>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</si>
  <si>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</si>
  <si>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</si>
  <si>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</si>
  <si>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</si>
  <si>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</si>
  <si>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</si>
  <si>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</si>
  <si>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</si>
  <si>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</si>
  <si>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</si>
  <si>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</si>
  <si>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</si>
  <si>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</si>
  <si>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</si>
  <si>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</si>
  <si>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</si>
  <si>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</si>
  <si>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</si>
  <si>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</si>
  <si>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</si>
  <si>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</si>
  <si>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</si>
  <si>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</si>
  <si>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</si>
  <si>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</si>
  <si>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</si>
  <si>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</si>
  <si>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</si>
  <si>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</si>
  <si>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</si>
  <si>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</si>
  <si>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</si>
  <si>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</si>
  <si>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 xml:space="preserve">Deparment of Cannabis Control </t>
  </si>
  <si>
    <t xml:space="preserve">Department of Cannabis Control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</si>
</sst>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C38" sqref="C38"/>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85" zoomScaleNormal="85"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468</v>
      </c>
      <c r="G5" s="194"/>
      <c r="H5" s="194"/>
      <c r="I5" s="194"/>
      <c r="L5" s="12"/>
      <c r="M5" s="12"/>
      <c r="N5" s="12"/>
      <c r="O5" s="12"/>
      <c r="P5" s="12"/>
      <c r="Q5" s="12"/>
    </row>
    <row r="6" spans="1:20" ht="16.5" customHeight="1" x14ac:dyDescent="0.25">
      <c r="A6" s="188" t="s">
        <v>1634</v>
      </c>
      <c r="B6" s="188"/>
      <c r="C6" s="188"/>
      <c r="D6" s="188"/>
      <c r="E6" s="188"/>
      <c r="F6" s="195">
        <v>3288</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BUS, CONSUMER SERV, HOUSING</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8601546</v>
      </c>
      <c r="M17" s="143">
        <f>219113+2010428+1618187+1025342+3728476</f>
        <v>8601546</v>
      </c>
      <c r="P17" s="143">
        <v>8601546</v>
      </c>
      <c r="Q17" s="155"/>
      <c r="S17" s="154">
        <f t="shared" si="0"/>
        <v>0</v>
      </c>
      <c r="T17" s="180" t="s">
        <v>1684</v>
      </c>
    </row>
    <row r="18" spans="1:20" ht="16.5" customHeight="1" x14ac:dyDescent="0.25">
      <c r="A18" s="54"/>
      <c r="B18" s="9" t="s">
        <v>168</v>
      </c>
      <c r="C18" s="9"/>
      <c r="D18" s="9"/>
      <c r="E18" s="140"/>
      <c r="F18" s="141"/>
      <c r="G18" s="141"/>
      <c r="H18" s="142"/>
      <c r="I18" s="142"/>
      <c r="J18" s="178">
        <f>P18</f>
        <v>127215</v>
      </c>
      <c r="M18" s="143">
        <f>1122+31261+22875+13451+56990+1516</f>
        <v>127215</v>
      </c>
      <c r="P18" s="152">
        <f>IF(SUM($Q$20:$Q$23)&gt;SUM($P$15:$P$17),SUM($Q$20:$Q$23)-SUM($P$15:$P$17),0)</f>
        <v>127215</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2040393</v>
      </c>
      <c r="N22" s="143">
        <f>164335+707373+404547+400134+362491+1513</f>
        <v>2040393</v>
      </c>
      <c r="P22" s="155"/>
      <c r="Q22" s="143">
        <v>2040393</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6688368</v>
      </c>
      <c r="N23" s="143">
        <f>55901+1334316+1236515+638660+3422975+1</f>
        <v>6688368</v>
      </c>
      <c r="P23" s="155"/>
      <c r="Q23" s="143">
        <v>6688368</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8728761</v>
      </c>
      <c r="K26" s="107">
        <f>SUM(K15:K25)</f>
        <v>8728761</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165904</v>
      </c>
      <c r="K33" s="144"/>
    </row>
    <row r="34" spans="1:12" ht="16.5" customHeight="1" x14ac:dyDescent="0.25">
      <c r="A34" s="54"/>
      <c r="B34" s="9"/>
      <c r="C34" s="9" t="s">
        <v>1673</v>
      </c>
      <c r="D34" s="140"/>
      <c r="E34" s="140"/>
      <c r="F34" s="141"/>
      <c r="G34" s="141"/>
      <c r="H34" s="142"/>
      <c r="I34" s="142"/>
      <c r="J34" s="144"/>
      <c r="K34" s="143">
        <v>165904</v>
      </c>
    </row>
    <row r="35" spans="1:12" ht="16.5" customHeight="1" x14ac:dyDescent="0.25">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25">
      <c r="A36" s="54"/>
      <c r="C36" s="16"/>
      <c r="D36" s="16"/>
      <c r="E36" s="16"/>
      <c r="F36" s="17"/>
      <c r="G36" s="17"/>
      <c r="H36" s="18"/>
      <c r="I36" s="18"/>
      <c r="J36" s="107">
        <f>SUM(J33:J35)</f>
        <v>165904</v>
      </c>
      <c r="K36" s="107">
        <f>SUM(K33:K35)</f>
        <v>165904</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165904</v>
      </c>
      <c r="K41" s="144"/>
    </row>
    <row r="42" spans="1:12" ht="16.5" customHeight="1" x14ac:dyDescent="0.25">
      <c r="A42" s="54"/>
      <c r="B42" s="9"/>
      <c r="C42" s="9" t="s">
        <v>180</v>
      </c>
      <c r="D42" s="140"/>
      <c r="E42" s="140"/>
      <c r="F42" s="141"/>
      <c r="G42" s="141"/>
      <c r="H42" s="142"/>
      <c r="I42" s="142"/>
      <c r="J42" s="144"/>
      <c r="K42" s="143">
        <v>165904</v>
      </c>
    </row>
    <row r="43" spans="1:12" ht="16.5" customHeight="1" x14ac:dyDescent="0.25">
      <c r="A43" s="54"/>
      <c r="B43" s="130" t="s">
        <v>1639</v>
      </c>
      <c r="C43" s="16"/>
      <c r="D43" s="16"/>
      <c r="E43" s="16"/>
      <c r="F43" s="17"/>
      <c r="G43" s="17"/>
      <c r="H43" s="18"/>
      <c r="I43" s="18"/>
      <c r="J43" s="107">
        <f>SUM(J39:J42)</f>
        <v>165904</v>
      </c>
      <c r="K43" s="107">
        <f>SUM(K39:K42)</f>
        <v>165904</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165904</v>
      </c>
      <c r="K47" s="144"/>
    </row>
    <row r="48" spans="1:12" ht="16.5" customHeight="1" x14ac:dyDescent="0.25">
      <c r="A48" s="165" t="s">
        <v>1645</v>
      </c>
      <c r="B48" s="9"/>
      <c r="C48" s="9" t="s">
        <v>173</v>
      </c>
      <c r="D48" s="140"/>
      <c r="E48" s="140"/>
      <c r="F48" s="141"/>
      <c r="G48" s="141"/>
      <c r="H48" s="142"/>
      <c r="I48" s="142"/>
      <c r="J48" s="144"/>
      <c r="K48" s="143">
        <v>165904</v>
      </c>
    </row>
    <row r="49" spans="1:16" ht="16.5" customHeight="1" x14ac:dyDescent="0.25">
      <c r="A49" s="54"/>
      <c r="C49" s="16"/>
      <c r="D49" s="16"/>
      <c r="E49" s="16"/>
      <c r="F49" s="17"/>
      <c r="G49" s="17"/>
      <c r="H49" s="18"/>
      <c r="I49" s="18"/>
      <c r="J49" s="107">
        <f>SUM(J47:J48)</f>
        <v>165904</v>
      </c>
      <c r="K49" s="107">
        <f>SUM(K47:K48)</f>
        <v>165904</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f>54778+446762+323637+300100+621413+82952</f>
        <v>1829642</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f>54778+446762+323637+300100+621413+82952</f>
        <v>1829642</v>
      </c>
    </row>
    <row r="59" spans="1:16" ht="16.5" customHeight="1" x14ac:dyDescent="0.25">
      <c r="A59" s="54"/>
      <c r="C59" s="16"/>
      <c r="D59" s="16"/>
      <c r="E59" s="16"/>
      <c r="F59" s="17"/>
      <c r="G59" s="17"/>
      <c r="H59" s="18"/>
      <c r="I59" s="18"/>
      <c r="J59" s="107">
        <f>SUM(J55:J58)</f>
        <v>1829642</v>
      </c>
      <c r="K59" s="107">
        <f>SUM(K55:K58)</f>
        <v>1829642</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f>55901+444044+315754+301476+550384+80604</f>
        <v>1748163</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42+2265+2185+1002+90489+3396</f>
        <v>99379</v>
      </c>
      <c r="K63" s="147"/>
    </row>
    <row r="64" spans="1:16" ht="16.5" customHeight="1" x14ac:dyDescent="0.25">
      <c r="A64" s="54"/>
      <c r="B64" s="9"/>
      <c r="C64" s="9" t="str">
        <f>IF($F$7="Proprietary","Cr: Acct 0870 - SERVICES &amp; CHARGES (MG ADJ)",VLOOKUP($F$9,'Drop Down Menus'!$F$2:$G$10,2,FALSE))</f>
        <v>Cr: Acct 0825 - BUS, CONSUMER SERV, HOUSING</v>
      </c>
      <c r="D64" s="140"/>
      <c r="E64" s="140"/>
      <c r="F64" s="141"/>
      <c r="G64" s="141"/>
      <c r="H64" s="142"/>
      <c r="I64" s="142"/>
      <c r="J64" s="147"/>
      <c r="K64" s="143">
        <f>55943+446309+317939+302478+640873+84000</f>
        <v>1847542</v>
      </c>
    </row>
    <row r="65" spans="1:12" ht="16.5" customHeight="1" x14ac:dyDescent="0.25">
      <c r="A65" s="54"/>
      <c r="C65" s="16"/>
      <c r="D65" s="16"/>
      <c r="E65" s="16"/>
      <c r="F65" s="17"/>
      <c r="G65" s="17"/>
      <c r="H65" s="18"/>
      <c r="I65" s="18"/>
      <c r="J65" s="107">
        <f>SUM(J62:J64)</f>
        <v>1847542</v>
      </c>
      <c r="K65" s="107">
        <f>SUM(K62:K64)</f>
        <v>1847542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55901+444044+315754+301476+550384+80604</f>
        <v>1748163</v>
      </c>
      <c r="K68" s="144"/>
    </row>
    <row r="69" spans="1:12" ht="16.5" customHeight="1" x14ac:dyDescent="0.25">
      <c r="A69" s="54"/>
      <c r="B69" s="9"/>
      <c r="C69" s="9" t="s">
        <v>185</v>
      </c>
      <c r="D69" s="140"/>
      <c r="E69" s="140"/>
      <c r="F69" s="141"/>
      <c r="G69" s="141"/>
      <c r="H69" s="142"/>
      <c r="I69" s="142"/>
      <c r="J69" s="144"/>
      <c r="K69" s="143">
        <f>55901+444044+315754+301476+550384+80604</f>
        <v>1748163</v>
      </c>
      <c r="L69" s="10" t="str">
        <f>IF($J$62=$K$69,"","&lt;- Accts 0848 must agree")</f>
        <v/>
      </c>
    </row>
    <row r="70" spans="1:12" ht="16.5" customHeight="1" x14ac:dyDescent="0.25">
      <c r="A70" s="54"/>
      <c r="C70" s="16"/>
      <c r="D70" s="16"/>
      <c r="E70" s="16"/>
      <c r="F70" s="17"/>
      <c r="G70" s="17"/>
      <c r="H70" s="18"/>
      <c r="I70" s="18"/>
      <c r="J70" s="107">
        <f>SUM(J68:J69)</f>
        <v>1748163</v>
      </c>
      <c r="K70" s="107">
        <f>SUM(K68:K69)</f>
        <v>1748163</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f>458037+325933+311162+592246+85300</f>
        <v>1772678</v>
      </c>
      <c r="K75" s="144"/>
    </row>
    <row r="76" spans="1:12" ht="16.5" customHeight="1" x14ac:dyDescent="0.25">
      <c r="A76" s="54"/>
      <c r="B76" s="9"/>
      <c r="C76" s="9" t="s">
        <v>193</v>
      </c>
      <c r="D76" s="140"/>
      <c r="E76" s="140"/>
      <c r="F76" s="141"/>
      <c r="G76" s="141"/>
      <c r="H76" s="142"/>
      <c r="I76" s="142"/>
      <c r="J76" s="144"/>
      <c r="K76" s="143">
        <f>458037+325933+311162+592246+85300</f>
        <v>1772678</v>
      </c>
    </row>
    <row r="77" spans="1:12" ht="16.5" customHeight="1" x14ac:dyDescent="0.2">
      <c r="A77" s="54"/>
      <c r="B77" s="191" t="s">
        <v>1672</v>
      </c>
      <c r="C77" s="191"/>
      <c r="D77" s="191"/>
      <c r="E77" s="191"/>
      <c r="F77" s="191"/>
      <c r="G77" s="191"/>
      <c r="H77" s="191"/>
      <c r="I77" s="191"/>
      <c r="J77" s="107">
        <f>SUM(J75:J76)</f>
        <v>1772678</v>
      </c>
      <c r="K77" s="107">
        <f>SUM(K75:K76)</f>
        <v>1772678</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219113</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219113</v>
      </c>
    </row>
    <row r="91" spans="1:16" ht="16.5" customHeight="1" x14ac:dyDescent="0.25">
      <c r="B91" s="130" t="s">
        <v>1640</v>
      </c>
      <c r="H91" s="10"/>
      <c r="J91" s="108">
        <f>SUM(J85:J90)</f>
        <v>219113</v>
      </c>
      <c r="K91" s="108">
        <f>SUM(K85:K90)</f>
        <v>219113</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0825 - BUS, CONSUMER SERV, HOUSING</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8548337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-3650922</v>
      </c>
    </row>
    <row r="128" spans="1:12" ht="16.5" customHeight="1" x14ac:dyDescent="0.25">
      <c r="D128" s="140" t="s">
        <v>1656</v>
      </c>
      <c r="H128" s="10"/>
      <c r="K128" s="169">
        <f>-K23-K48+J68+J75+J96-K113</f>
        <v>-3333431</v>
      </c>
    </row>
    <row r="129" spans="4:11" ht="16.5" customHeight="1" x14ac:dyDescent="0.25">
      <c r="D129" s="140" t="s">
        <v>1657</v>
      </c>
      <c r="H129" s="10"/>
      <c r="K129" s="169">
        <f>-K76</f>
        <v>-1772678</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1115</v>
      </c>
      <c r="C9" s="210"/>
      <c r="D9" s="3"/>
      <c r="E9" s="3"/>
      <c r="F9" s="3"/>
    </row>
    <row r="10" spans="1:13" ht="15.75" x14ac:dyDescent="0.25">
      <c r="A10" s="5" t="s">
        <v>191</v>
      </c>
      <c r="B10" s="211" t="s">
        <v>1716</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f>458037+325933+311162+592246+85300</f>
        <v>1772678</v>
      </c>
      <c r="C13" s="55">
        <f>1364+1545+390+74263+1220</f>
        <v>78782</v>
      </c>
      <c r="D13" s="200" t="s">
        <v>4</v>
      </c>
      <c r="E13" s="201"/>
      <c r="F13" s="201"/>
      <c r="G13" s="29"/>
      <c r="H13" s="29"/>
      <c r="I13" s="29"/>
      <c r="J13" s="29"/>
      <c r="K13" s="29"/>
      <c r="L13" s="29"/>
      <c r="M13" s="29"/>
    </row>
    <row r="14" spans="1:13" x14ac:dyDescent="0.2">
      <c r="A14" s="51" t="str">
        <f>LEFT(A13,4)+1&amp;"–"&amp;RIGHT(A13,4)+1</f>
        <v>2025–2026</v>
      </c>
      <c r="B14" s="55">
        <f>432235+336418+26022+636356</f>
        <v>1431031</v>
      </c>
      <c r="C14" s="55">
        <f>435+883+4+56814</f>
        <v>58136</v>
      </c>
      <c r="D14" s="200"/>
      <c r="E14" s="201"/>
      <c r="F14" s="201"/>
    </row>
    <row r="15" spans="1:13" ht="15.75" x14ac:dyDescent="0.2">
      <c r="A15" s="51" t="str">
        <f>LEFT(A14,4)+1&amp;"–"&amp;RIGHT(A14,4)+1</f>
        <v>2026–2027</v>
      </c>
      <c r="B15" s="55">
        <f>258411+682818</f>
        <v>941229</v>
      </c>
      <c r="C15" s="55">
        <f>215+38078</f>
        <v>38293</v>
      </c>
      <c r="D15" s="197" t="s">
        <v>124</v>
      </c>
      <c r="E15" s="197"/>
      <c r="F15" s="197"/>
      <c r="G15" s="30"/>
      <c r="H15" s="30"/>
      <c r="I15" s="30"/>
      <c r="J15" s="30"/>
      <c r="K15" s="30"/>
      <c r="L15" s="30"/>
      <c r="M15" s="30"/>
    </row>
    <row r="16" spans="1:13" x14ac:dyDescent="0.2">
      <c r="A16" s="51" t="str">
        <f>LEFT(A15,4)+1&amp;"–"&amp;RIGHT(A15,4)+1</f>
        <v>2027–2028</v>
      </c>
      <c r="B16" s="55">
        <f>681398</f>
        <v>681398</v>
      </c>
      <c r="C16" s="55">
        <f>18343</f>
        <v>18343</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f>279772+1</f>
        <v>279773</v>
      </c>
      <c r="C17" s="55">
        <f>1997</f>
        <v>1997</v>
      </c>
      <c r="D17" s="197">
        <v>0</v>
      </c>
      <c r="E17" s="197"/>
      <c r="F17" s="197"/>
      <c r="G17" s="31"/>
      <c r="H17" s="31"/>
      <c r="I17" s="31"/>
      <c r="J17" s="31"/>
      <c r="K17" s="31"/>
    </row>
    <row r="18" spans="1:13" ht="15" customHeight="1" x14ac:dyDescent="0.25">
      <c r="A18" s="51" t="str">
        <f>LEFT(A17,4)+1&amp;"–"&amp;RIGHT(A17,4)+5</f>
        <v>2029–2034</v>
      </c>
      <c r="B18" s="55"/>
      <c r="C18" s="55"/>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v>0</v>
      </c>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v>0</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v>0</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v>0</v>
      </c>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1115</v>
      </c>
      <c r="C40" s="206"/>
      <c r="E40" s="32"/>
    </row>
    <row r="41" spans="1:13" ht="15.75" x14ac:dyDescent="0.25">
      <c r="A41" s="5" t="s">
        <v>191</v>
      </c>
      <c r="B41" s="204" t="str">
        <f>B10</f>
        <v xml:space="preserve">Department of Cannabis Control </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1115</v>
      </c>
      <c r="C71" s="206"/>
    </row>
    <row r="72" spans="1:13" ht="15.75" x14ac:dyDescent="0.25">
      <c r="A72" s="5" t="s">
        <v>191</v>
      </c>
      <c r="B72" s="204" t="str">
        <f>B10</f>
        <v xml:space="preserve">Department of Cannabis Control </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3288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 xml:space="preserve">Business Unit 1115 - Department of Cannabis Control </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3288 Journal Entries'!$F$8="Governmental Fund",'LS-Fund 3288 Journal Entries'!$K$23,0)</f>
        <v>6688368</v>
      </c>
      <c r="G10" s="58"/>
      <c r="H10" s="61">
        <f>IF('LS-Fund 3288 Journal Entries'!$F$8="Governmental Fund",SUM('LS-Fund 3288 Journal Entries'!$K$48,'LS-Fund 3288 Journal Entries'!K113),0)</f>
        <v>165904</v>
      </c>
      <c r="I10" s="58"/>
      <c r="J10" s="61">
        <f>IF('LS-Fund 3288 Journal Entries'!$F$8="Governmental Fund",SUM('LS-Fund 3288 Journal Entries'!$J$68,'LS-Fund 3288 Journal Entries'!J96),0)</f>
        <v>1748163</v>
      </c>
      <c r="K10" s="58"/>
      <c r="L10" s="63">
        <f>SUM(F10+H10-J10)</f>
        <v>5106109</v>
      </c>
      <c r="M10" s="58"/>
      <c r="N10" s="61">
        <f>IF('LS-Fund 3288 Journal Entries'!$F$8="Governmental Fund",'LS-Fund 3288 Journal Entries'!$K$76,0)</f>
        <v>1772678</v>
      </c>
      <c r="O10" s="58"/>
      <c r="P10" s="63">
        <f>L10-N10</f>
        <v>3333431</v>
      </c>
      <c r="Q10" s="43"/>
    </row>
    <row r="11" spans="2:17" ht="19.5" thickTop="1" thickBot="1" x14ac:dyDescent="0.3">
      <c r="B11" s="41"/>
      <c r="C11" s="45" t="s">
        <v>18</v>
      </c>
      <c r="F11" s="62">
        <f>SUM(F10:F10)</f>
        <v>6688368</v>
      </c>
      <c r="G11" s="58"/>
      <c r="H11" s="62">
        <f>SUM(H10:H10)</f>
        <v>165904</v>
      </c>
      <c r="I11" s="58"/>
      <c r="J11" s="62">
        <f>SUM(J10:J10)</f>
        <v>1748163</v>
      </c>
      <c r="K11" s="58"/>
      <c r="L11" s="62">
        <f>SUM(L10:L10)</f>
        <v>5106109</v>
      </c>
      <c r="M11" s="58"/>
      <c r="N11" s="62">
        <f>SUM(N10:N10)</f>
        <v>1772678</v>
      </c>
      <c r="O11" s="58"/>
      <c r="P11" s="62">
        <f>SUM(P10:P10)</f>
        <v>3333431</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3288 Journal Entries'!$F$8="Proprietary - Internal Service Fund",'LS-Fund 3288 Journal Entries'!$K$23,0)</f>
        <v>0</v>
      </c>
      <c r="G14" s="58"/>
      <c r="H14" s="61">
        <f>IF('LS-Fund 3288 Journal Entries'!$F$8="Proprietary - Internal Service Fund",SUM('LS-Fund 3288 Journal Entries'!$K$48,'LS-Fund 3288 Journal Entries'!K113),0)</f>
        <v>0</v>
      </c>
      <c r="I14" s="58"/>
      <c r="J14" s="61">
        <f>IF('LS-Fund 3288 Journal Entries'!$F$8="Proprietary - Internal Service Fund",SUM('LS-Fund 3288 Journal Entries'!$J$68,'LS-Fund 3288 Journal Entries'!J96),0)</f>
        <v>0</v>
      </c>
      <c r="K14" s="58"/>
      <c r="L14" s="63">
        <f>SUM(F14+H14-J14)</f>
        <v>0</v>
      </c>
      <c r="M14" s="58"/>
      <c r="N14" s="61">
        <f>IF('LS-Fund 3288 Journal Entries'!$F$8="Proprietary - Internal Service Fund",'LS-Fund 3288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3288 Journal Entries'!$F$8="Proprietary - Enterprise Fund",'LS-Fund 3288 Journal Entries'!$K$23,0)</f>
        <v>0</v>
      </c>
      <c r="G18" s="58"/>
      <c r="H18" s="61">
        <f>IF('LS-Fund 3288 Journal Entries'!$F$8="Proprietary - Enterprise Fund",SUM('LS-Fund 3288 Journal Entries'!$K$48,'LS-Fund 3288 Journal Entries'!K113),0)</f>
        <v>0</v>
      </c>
      <c r="I18" s="58"/>
      <c r="J18" s="61">
        <f>IF('LS-Fund 3288 Journal Entries'!$F$8="Proprietary - Enterprise Fund",SUM('LS-Fund 3288 Journal Entries'!$J$68,'LS-Fund 3288 Journal Entries'!J96),0)</f>
        <v>0</v>
      </c>
      <c r="K18" s="58"/>
      <c r="L18" s="63">
        <f>SUM(F18+H18-J18)</f>
        <v>0</v>
      </c>
      <c r="M18" s="58"/>
      <c r="N18" s="61">
        <f>IF('LS-Fund 3288 Journal Entries'!$F$8="Proprietary - Enterprise Fund",'LS-Fund 3288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3288 Journal Entries'!$F$8="Governmental Fund",'LS-Fund 3288 Journal Entries'!$K$23,0)</f>
        <v>6688368</v>
      </c>
      <c r="C16" s="116" t="s">
        <v>145</v>
      </c>
      <c r="D16" s="84">
        <f>IF('LS-Fund 3288 Journal Entries'!$F$8="Governmental Fund",'LS-Fund 3288 Journal Entries'!$K$48,0)</f>
        <v>165904</v>
      </c>
      <c r="E16" s="118" t="s">
        <v>146</v>
      </c>
      <c r="F16" s="84">
        <f>IF('LS-Fund 3288 Journal Entries'!$F$8="Governmental Fund",'LS-Fund 3288 Journal Entries'!$J$68,0)</f>
        <v>1748163</v>
      </c>
      <c r="G16" s="117" t="s">
        <v>146</v>
      </c>
      <c r="H16" s="84">
        <f>IF('LS-Fund 3288 Journal Entries'!$F$8="Governmental Fund",'LS-Fund 3288 Journal Entries'!$J$96,0)</f>
        <v>0</v>
      </c>
      <c r="I16" s="117" t="s">
        <v>145</v>
      </c>
      <c r="J16" s="84">
        <f>IF('LS-Fund 3288 Journal Entries'!$F$8="Governmental Fund",'LS-Fund 3288 Journal Entries'!$K$113,0)</f>
        <v>0</v>
      </c>
      <c r="K16" s="118" t="s">
        <v>149</v>
      </c>
      <c r="L16" s="87">
        <f>+B16+D16-F16-H16+J16</f>
        <v>5106109</v>
      </c>
      <c r="M16" s="86"/>
      <c r="N16" s="88">
        <f>SUM('LS-Department Note Disclosure'!B13:B36)</f>
        <v>5106109</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3288 Journal Entries'!$F$8="Proprietary - Internal Service Fund",'LS-Fund 3288 Journal Entries'!$K$23,0)</f>
        <v>0</v>
      </c>
      <c r="C24" s="116" t="s">
        <v>145</v>
      </c>
      <c r="D24" s="84">
        <f>IF('LS-Fund 3288 Journal Entries'!$F$8="Proprietary - Internal Service Fund",'LS-Fund 3288 Journal Entries'!$K$48,0)</f>
        <v>0</v>
      </c>
      <c r="E24" s="118" t="s">
        <v>146</v>
      </c>
      <c r="F24" s="84">
        <f>IF('LS-Fund 3288 Journal Entries'!$F$8="Proprietary - Internal Service Fund",'LS-Fund 3288 Journal Entries'!$J$68,0)</f>
        <v>0</v>
      </c>
      <c r="G24" s="117" t="s">
        <v>146</v>
      </c>
      <c r="H24" s="84">
        <f>IF('LS-Fund 3288 Journal Entries'!$F$8="Proprietary - Internal Service Fund",'LS-Fund 3288 Journal Entries'!$J$96,0)</f>
        <v>0</v>
      </c>
      <c r="I24" s="117" t="s">
        <v>145</v>
      </c>
      <c r="J24" s="84">
        <f>IF('LS-Fund 3288 Journal Entries'!$F$8="Proprietary - Internal Service Fund",'LS-Fund 3288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3288 Journal Entries'!$F$8="Proprietary - Enterprise Fund",'LS-Fund 3288 Journal Entries'!$K$23,0)</f>
        <v>0</v>
      </c>
      <c r="C33" s="116" t="s">
        <v>145</v>
      </c>
      <c r="D33" s="84">
        <f>IF('LS-Fund 3288 Journal Entries'!$F$8="Proprietary - Enterprise Fund",'LS-Fund 3288 Journal Entries'!$K$48,0)</f>
        <v>0</v>
      </c>
      <c r="E33" s="118" t="s">
        <v>146</v>
      </c>
      <c r="F33" s="84">
        <f>IF('LS-Fund 3288 Journal Entries'!$F$8="Proprietary - Enterprise Fund",'LS-Fund 3288 Journal Entries'!$J$68,0)</f>
        <v>0</v>
      </c>
      <c r="G33" s="117" t="s">
        <v>146</v>
      </c>
      <c r="H33" s="84">
        <f>IF('LS-Fund 3288 Journal Entries'!$F$8="Proprietary - Enterprise Fund",'LS-Fund 3288 Journal Entries'!$J$96,0)</f>
        <v>0</v>
      </c>
      <c r="I33" s="117" t="s">
        <v>145</v>
      </c>
      <c r="J33" s="84">
        <f>IF('LS-Fund 3288 Journal Entries'!$F$8="Proprietary - Enterprise Fund",'LS-Fund 3288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3288 Journal Entries'!$F$8="Governmental Fund",'LS-Fund 3288 Journal Entries'!$K$76,0)</f>
        <v>1772678</v>
      </c>
      <c r="C42" s="92"/>
      <c r="E42" s="92"/>
      <c r="G42" s="115"/>
      <c r="H42" s="115"/>
      <c r="I42" s="115"/>
      <c r="J42" s="115"/>
      <c r="K42" s="92"/>
      <c r="L42" s="92"/>
      <c r="M42" s="93"/>
      <c r="N42" s="88">
        <f>'LS-Department Note Disclosure'!B13</f>
        <v>1772678</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3288 Journal Entries'!$F$8="Proprietary - Internal Service Fund",'LS-Fund 3288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3288 Journal Entries'!$F$8="Proprietary - Enterprise Fund",'LS-Fund 3288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6688368</v>
      </c>
      <c r="J66" s="97">
        <f>SUM(D66)</f>
        <v>6688368</v>
      </c>
      <c r="L66" s="98" t="str">
        <f>CONCATENATE("Balance July 1, ",LEFT('LS-Department Note Disclosure'!$B$8,4))</f>
        <v>Balance July 1, 2023</v>
      </c>
      <c r="N66" s="97">
        <f>'LS-Lease Liabilities'!F10</f>
        <v>6688368</v>
      </c>
      <c r="P66" s="89">
        <f>J66-N66</f>
        <v>0</v>
      </c>
    </row>
    <row r="67" spans="1:17" x14ac:dyDescent="0.25">
      <c r="B67" s="79" t="s">
        <v>156</v>
      </c>
      <c r="D67" s="97">
        <f>$D$16</f>
        <v>165904</v>
      </c>
      <c r="E67" s="119" t="s">
        <v>145</v>
      </c>
      <c r="F67" s="79" t="s">
        <v>1681</v>
      </c>
      <c r="H67" s="97">
        <f>$J$16</f>
        <v>0</v>
      </c>
      <c r="J67" s="97">
        <f>SUM(D67,H67)</f>
        <v>165904</v>
      </c>
      <c r="L67" s="98" t="s">
        <v>12</v>
      </c>
      <c r="N67" s="97">
        <f>'LS-Lease Liabilities'!H10</f>
        <v>165904</v>
      </c>
      <c r="P67" s="89">
        <f t="shared" ref="P67:P69" si="0">J67-N67</f>
        <v>0</v>
      </c>
    </row>
    <row r="68" spans="1:17" x14ac:dyDescent="0.25">
      <c r="B68" s="79" t="s">
        <v>151</v>
      </c>
      <c r="D68" s="97">
        <f>$F$16</f>
        <v>1748163</v>
      </c>
      <c r="E68" s="119" t="s">
        <v>145</v>
      </c>
      <c r="F68" s="79" t="s">
        <v>1678</v>
      </c>
      <c r="H68" s="97">
        <f>$H$16</f>
        <v>0</v>
      </c>
      <c r="J68" s="97">
        <f>SUM(D68,H68)</f>
        <v>1748163</v>
      </c>
      <c r="L68" s="98" t="s">
        <v>13</v>
      </c>
      <c r="N68" s="97">
        <f>'LS-Lease Liabilities'!J10</f>
        <v>1748163</v>
      </c>
      <c r="P68" s="89">
        <f t="shared" si="0"/>
        <v>0</v>
      </c>
    </row>
    <row r="69" spans="1:17" x14ac:dyDescent="0.25">
      <c r="B69" s="79" t="s">
        <v>155</v>
      </c>
      <c r="D69" s="97">
        <f>$B$42</f>
        <v>1772678</v>
      </c>
      <c r="J69" s="97">
        <f>SUM(D69)</f>
        <v>1772678</v>
      </c>
      <c r="L69" s="98" t="s">
        <v>14</v>
      </c>
      <c r="N69" s="97">
        <f>'LS-Lease Liabilities'!N10</f>
        <v>1772678</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270194-eee5-4d94-8f94-34852d67e2f1">
      <Terms xmlns="http://schemas.microsoft.com/office/infopath/2007/PartnerControls"/>
    </lcf76f155ced4ddcb4097134ff3c332f>
    <TaxCatchAll xmlns="0f6df037-9403-42ee-aacf-e3ec23ca516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A516052EBE6B24AB3F3E449541C8148" ma:contentTypeVersion="16" ma:contentTypeDescription="Create a new document." ma:contentTypeScope="" ma:versionID="3f8266a62cc28d160180e4b96861225d">
  <xsd:schema xmlns:xsd="http://www.w3.org/2001/XMLSchema" xmlns:xs="http://www.w3.org/2001/XMLSchema" xmlns:p="http://schemas.microsoft.com/office/2006/metadata/properties" xmlns:ns2="d1270194-eee5-4d94-8f94-34852d67e2f1" xmlns:ns3="0f6df037-9403-42ee-aacf-e3ec23ca5163" targetNamespace="http://schemas.microsoft.com/office/2006/metadata/properties" ma:root="true" ma:fieldsID="18fe1460a5ea2f58176622a67ee863c1" ns2:_="" ns3:_="">
    <xsd:import namespace="d1270194-eee5-4d94-8f94-34852d67e2f1"/>
    <xsd:import namespace="0f6df037-9403-42ee-aacf-e3ec23ca5163"/>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270194-eee5-4d94-8f94-34852d67e2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9caf54b-41be-41a7-88ba-00df7bf2f1f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6df037-9403-42ee-aacf-e3ec23ca516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d3305eb-5d08-4abb-8fc4-860b8f3c001c}" ma:internalName="TaxCatchAll" ma:showField="CatchAllData" ma:web="0f6df037-9403-42ee-aacf-e3ec23ca516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8B21F8-1EDC-4D2D-ABB5-7031867E4E22}">
  <ds:schemaRefs>
    <ds:schemaRef ds:uri="http://schemas.microsoft.com/office/2006/metadata/properties"/>
    <ds:schemaRef ds:uri="http://schemas.microsoft.com/office/infopath/2007/PartnerControls"/>
    <ds:schemaRef ds:uri="d1270194-eee5-4d94-8f94-34852d67e2f1"/>
    <ds:schemaRef ds:uri="0f6df037-9403-42ee-aacf-e3ec23ca5163"/>
  </ds:schemaRefs>
</ds:datastoreItem>
</file>

<file path=customXml/itemProps2.xml><?xml version="1.0" encoding="utf-8"?>
<ds:datastoreItem xmlns:ds="http://schemas.openxmlformats.org/officeDocument/2006/customXml" ds:itemID="{720EDE00-542A-4685-9949-3FF05144BF49}">
  <ds:schemaRefs>
    <ds:schemaRef ds:uri="http://schemas.microsoft.com/sharepoint/v3/contenttype/forms"/>
  </ds:schemaRefs>
</ds:datastoreItem>
</file>

<file path=customXml/itemProps3.xml><?xml version="1.0" encoding="utf-8"?>
<ds:datastoreItem xmlns:ds="http://schemas.openxmlformats.org/officeDocument/2006/customXml" ds:itemID="{E67CAF52-4C93-4755-B1DE-2A85A3083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270194-eee5-4d94-8f94-34852d67e2f1"/>
    <ds:schemaRef ds:uri="0f6df037-9403-42ee-aacf-e3ec23ca51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3288 Journal Entries</vt:lpstr>
      <vt:lpstr>LS-Department Note Disclosure</vt:lpstr>
      <vt:lpstr>LS-Lease Liabilities</vt:lpstr>
      <vt:lpstr>LS-Check Figures  </vt:lpstr>
      <vt:lpstr>'LS-Department Note Disclosure'!Print_Area</vt:lpstr>
      <vt:lpstr>'LS-Fund 3288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2024-12-12T01:35:12Z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0x010100FA516052EBE6B24AB3F3E449541C8148</vt:lpwstr>
  </property>
  <property fmtid="{D5CDD505-2E9C-101B-9397-08002B2CF9AE}" pid="3" name="MediaServiceImageTags">
    <vt:lpwstr/>
  </property>
</Properties>
</file>