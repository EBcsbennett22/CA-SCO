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E9BCB442-08AE-48CE-9C8E-BCBA9527D32E}"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0214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0214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4" l="1"/>
  <c r="B63" i="2" l="1"/>
  <c r="J18" i="4"/>
  <c r="J14" i="4"/>
  <c r="H18" i="4"/>
  <c r="H14" i="4"/>
  <c r="N18" i="4"/>
  <c r="N14" i="4"/>
  <c r="N10"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<sst xmlns="http://schemas.openxmlformats.org/spreadsheetml/2006/main" count="7724" uniqueCount="1717">
  <si>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</si>
  <si>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</si>
  <si>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</si>
  <si>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</si>
  <si>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</si>
  <si>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</si>
  <si>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</si>
  <si>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</si>
  <si>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</si>
  <si>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</si>
  <si>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</si>
  <si>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</si>
  <si>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</si>
  <si>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</si>
  <si>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</si>
  <si>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</si>
  <si>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</si>
  <si>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</si>
  <si>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</si>
  <si>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</si>
  <si>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</si>
  <si>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</si>
  <si>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</si>
  <si>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</si>
  <si>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</si>
  <si>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</si>
  <si>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</si>
  <si>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</si>
  <si>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</si>
  <si>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</si>
  <si>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</si>
  <si>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</si>
  <si>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</si>
  <si>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</si>
  <si>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</si>
  <si>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</si>
  <si>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</si>
  <si>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</si>
  <si>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</si>
  <si>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</si>
  <si>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</si>
  <si>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</si>
  <si>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</si>
  <si>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</si>
  <si>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</si>
  <si>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</si>
  <si>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</si>
  <si>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</si>
  <si>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</si>
  <si>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</si>
  <si>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</si>
  <si>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</si>
  <si>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</si>
  <si>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</si>
  <si>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</si>
  <si>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</si>
  <si>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</si>
  <si>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</si>
  <si>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</si>
  <si>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</si>
  <si>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</si>
  <si>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</si>
  <si>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</si>
  <si>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</si>
  <si>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</si>
  <si>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</si>
  <si>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</si>
  <si>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</si>
  <si>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</si>
  <si>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</si>
  <si>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</si>
  <si>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</si>
  <si>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</si>
  <si>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</si>
  <si>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</si>
  <si>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</si>
  <si>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</si>
  <si>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</si>
  <si>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</si>
  <si>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</si>
  <si>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</si>
  <si>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</si>
  <si>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</si>
  <si>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</si>
  <si>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</si>
  <si>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</si>
  <si>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</si>
  <si>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</si>
  <si>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</si>
  <si>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</si>
  <si>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</si>
  <si>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</si>
  <si>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</si>
  <si>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</si>
  <si>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</si>
  <si>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</si>
  <si>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</si>
  <si>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</si>
  <si>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</si>
  <si>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</si>
  <si>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</si>
  <si>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</si>
  <si>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</si>
  <si>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</si>
  <si>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</si>
  <si>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</si>
  <si>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</si>
  <si>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</si>
  <si>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</si>
  <si>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</si>
  <si>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</si>
  <si>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</si>
  <si>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</si>
  <si>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</si>
  <si>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</si>
  <si>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</si>
  <si>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</si>
  <si>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</si>
  <si>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</si>
  <si>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</si>
  <si>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</si>
  <si>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</si>
  <si>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</si>
  <si>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</si>
  <si>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</si>
  <si>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</si>
  <si>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</si>
  <si>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</si>
  <si>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</si>
  <si>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</si>
  <si>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</si>
  <si>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</si>
  <si>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</si>
  <si>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</si>
  <si>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</si>
  <si>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</si>
  <si>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</si>
  <si>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</si>
  <si>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</si>
  <si>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</si>
  <si>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</si>
  <si>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</si>
  <si>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</si>
  <si>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</si>
  <si>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</si>
  <si>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</si>
  <si>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</si>
  <si>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</si>
  <si>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</si>
  <si>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</si>
  <si>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</si>
  <si>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</si>
  <si>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</si>
  <si>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</si>
  <si>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</si>
  <si>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</si>
  <si>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</si>
  <si>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</si>
  <si>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</si>
  <si>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</si>
  <si>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</si>
  <si>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</si>
  <si>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</si>
  <si>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</si>
  <si>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</si>
  <si>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</si>
  <si>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</si>
  <si>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</si>
  <si>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</si>
  <si>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</si>
  <si>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</si>
  <si>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</si>
  <si>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</si>
  <si>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</si>
  <si>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</si>
  <si>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</si>
  <si>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</si>
  <si>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</si>
  <si>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</si>
  <si>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</si>
  <si>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</si>
  <si>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</si>
  <si>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</si>
  <si>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</si>
  <si>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</si>
  <si>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</si>
  <si>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</si>
  <si>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</si>
  <si>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</si>
  <si>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</si>
  <si>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</si>
  <si>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</si>
  <si>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</si>
  <si>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</si>
  <si>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</si>
  <si>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</si>
  <si>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</si>
  <si>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</si>
  <si>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</si>
  <si>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</si>
  <si>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</si>
  <si>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</si>
  <si>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</si>
  <si>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</si>
  <si>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</si>
  <si>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</si>
  <si>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</si>
  <si>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</si>
  <si>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</si>
  <si>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</si>
  <si>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</si>
  <si>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</si>
  <si>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</si>
  <si>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</si>
  <si>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</si>
  <si>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</si>
  <si>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</si>
  <si>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</si>
  <si>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</si>
  <si>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</si>
  <si>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</si>
  <si>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</si>
  <si>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</si>
  <si>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</si>
  <si>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</si>
  <si>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</si>
  <si>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</si>
  <si>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</si>
  <si>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</si>
  <si>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</si>
  <si>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</si>
  <si>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</si>
  <si>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</si>
  <si>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</si>
  <si>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</si>
  <si>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</si>
  <si>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</si>
  <si>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</si>
  <si>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</si>
  <si>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</si>
  <si>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</si>
  <si>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</si>
  <si>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</si>
  <si>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</si>
  <si>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</si>
  <si>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</si>
  <si>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</si>
  <si>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</si>
  <si>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</si>
  <si>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</si>
  <si>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</si>
  <si>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</si>
  <si>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</si>
  <si>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</si>
  <si>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</si>
  <si>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</si>
  <si>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</si>
  <si>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</si>
  <si>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</si>
  <si>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</si>
  <si>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</si>
  <si>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</si>
  <si>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</si>
  <si>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</si>
  <si>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</si>
  <si>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</si>
  <si>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</si>
  <si>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</si>
  <si>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</si>
  <si>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</si>
  <si>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</si>
  <si>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</si>
  <si>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</si>
  <si>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</si>
  <si>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</si>
  <si>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</si>
  <si>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</si>
  <si>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</si>
  <si>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</si>
  <si>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</si>
  <si>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</si>
  <si>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</si>
  <si>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</si>
  <si>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</si>
  <si>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</si>
  <si>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</si>
  <si>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</si>
  <si>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</si>
  <si>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</si>
  <si>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</si>
  <si>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</si>
  <si>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</si>
  <si>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</si>
  <si>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</si>
  <si>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</si>
  <si>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</si>
  <si>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</si>
  <si>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</si>
  <si>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</si>
  <si>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</si>
  <si>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</si>
  <si>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</si>
  <si>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</si>
  <si>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</si>
  <si>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</si>
  <si>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</si>
  <si>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</si>
  <si>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</si>
  <si>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</si>
  <si>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</si>
  <si>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</si>
  <si>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</si>
  <si>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</si>
  <si>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</si>
  <si>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</si>
  <si>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</si>
  <si>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</si>
  <si>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</si>
  <si>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</si>
  <si>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</si>
  <si>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</si>
  <si>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</si>
  <si>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</si>
  <si>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</si>
  <si>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</si>
  <si>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</si>
  <si>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</si>
  <si>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</si>
  <si>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</si>
  <si>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</si>
  <si>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</si>
  <si>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</si>
  <si>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</si>
  <si>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</si>
  <si>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</si>
  <si>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</si>
  <si>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</si>
  <si>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</si>
  <si>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</si>
  <si>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</si>
  <si>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</si>
  <si>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</si>
  <si>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</si>
  <si>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</si>
  <si>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</si>
  <si>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</si>
  <si>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</si>
  <si>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</si>
  <si>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</si>
  <si>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</si>
  <si>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</si>
  <si>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</si>
  <si>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</si>
  <si>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</si>
  <si>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</si>
  <si>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</si>
  <si>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</si>
  <si>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</si>
  <si>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</si>
  <si>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</si>
  <si>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</si>
  <si>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</si>
  <si>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</si>
  <si>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</si>
  <si>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</si>
  <si>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</si>
  <si>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</si>
  <si>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</si>
  <si>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</si>
  <si>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</si>
  <si>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</si>
  <si>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</si>
  <si>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</si>
  <si>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</si>
  <si>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</si>
  <si>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</si>
  <si>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</si>
  <si>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</si>
  <si>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</si>
  <si>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</si>
  <si>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</si>
  <si>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</si>
  <si>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</si>
  <si>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</si>
  <si>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</si>
  <si>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</si>
  <si>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</si>
  <si>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</si>
  <si>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</si>
  <si>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</si>
  <si>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</si>
  <si>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</si>
  <si>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</si>
  <si>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</si>
  <si>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</si>
  <si>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</si>
  <si>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</si>
  <si>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</si>
  <si>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</si>
  <si>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</si>
  <si>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</si>
  <si>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</si>
  <si>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</si>
  <si>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</si>
  <si>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</si>
  <si>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</si>
  <si>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</si>
  <si>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</si>
  <si>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</si>
  <si>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</si>
  <si>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</si>
  <si>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</si>
  <si>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</si>
  <si>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</si>
  <si>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</si>
  <si>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</si>
  <si>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</si>
  <si>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</si>
  <si>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</si>
  <si>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</si>
  <si>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</si>
  <si>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</si>
  <si>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</si>
  <si>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</si>
  <si>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</si>
  <si>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</si>
  <si>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</si>
  <si>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</si>
  <si>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</si>
  <si>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</si>
  <si>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</si>
  <si>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</si>
  <si>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</si>
  <si>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</si>
  <si>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</si>
  <si>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</si>
  <si>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</si>
  <si>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</si>
  <si>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</si>
  <si>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</si>
  <si>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</si>
  <si>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</si>
  <si>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</si>
  <si>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</si>
  <si>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</si>
  <si>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</si>
  <si>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</si>
  <si>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</si>
  <si>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</si>
  <si>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</si>
  <si>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</si>
  <si>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</si>
  <si>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</si>
  <si>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</si>
  <si>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</si>
  <si>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</si>
  <si>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</si>
  <si>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</si>
  <si>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</si>
  <si>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</si>
  <si>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</si>
  <si>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</si>
  <si>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</si>
  <si>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</si>
  <si>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</si>
  <si>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</si>
  <si>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</si>
  <si>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</si>
  <si>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</si>
  <si>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</si>
  <si>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</si>
  <si>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</si>
  <si>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</si>
  <si>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</si>
  <si>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</si>
  <si>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</si>
  <si>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</si>
  <si>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</si>
  <si>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</si>
  <si>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</si>
  <si>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</si>
  <si>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</si>
  <si>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</si>
  <si>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</si>
  <si>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</si>
  <si>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</si>
  <si>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</si>
  <si>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</si>
  <si>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</si>
  <si>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</si>
  <si>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</si>
  <si>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</si>
  <si>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</si>
  <si>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</si>
  <si>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</si>
  <si>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</si>
  <si>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</si>
  <si>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</si>
  <si>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</si>
  <si>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</si>
  <si>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</si>
  <si>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</si>
  <si>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</si>
  <si>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</si>
  <si>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</si>
  <si>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</si>
  <si>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</si>
  <si>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</si>
  <si>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</si>
  <si>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</si>
  <si>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</si>
  <si>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</si>
  <si>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</si>
  <si>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</si>
  <si>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</si>
  <si>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</si>
  <si>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</si>
  <si>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</si>
  <si>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</si>
  <si>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</si>
  <si>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</si>
  <si>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</si>
  <si>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</si>
  <si>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</si>
  <si>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</si>
  <si>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</si>
  <si>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</si>
  <si>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</si>
  <si>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</si>
  <si>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</si>
  <si>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</si>
  <si>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</si>
  <si>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</si>
  <si>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</si>
  <si>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</si>
  <si>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</si>
  <si>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</si>
  <si>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</si>
  <si>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</si>
  <si>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</si>
  <si>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</si>
  <si>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</si>
  <si>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</si>
  <si>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</si>
  <si>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</si>
  <si>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</si>
  <si>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</si>
  <si>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</si>
  <si>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</si>
  <si>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</si>
  <si>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</si>
  <si>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</si>
  <si>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</si>
  <si>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</si>
  <si>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</si>
  <si>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</si>
  <si>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</si>
  <si>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</si>
  <si>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</si>
  <si>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</si>
  <si>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</si>
  <si>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</si>
  <si>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</si>
  <si>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</si>
  <si>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</si>
  <si>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</si>
  <si>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</si>
  <si>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</si>
  <si>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</si>
  <si>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</si>
  <si>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</si>
  <si>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</si>
  <si>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</si>
  <si>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</si>
  <si>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</si>
  <si>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</si>
  <si>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</si>
  <si>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</si>
  <si>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</si>
  <si>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</si>
  <si>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</si>
  <si>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</si>
  <si>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</si>
  <si>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</si>
  <si>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</si>
  <si>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</si>
  <si>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</si>
  <si>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</si>
  <si>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</si>
  <si>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</si>
  <si>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</si>
  <si>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</si>
  <si>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</si>
  <si>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</si>
  <si>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</si>
  <si>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</si>
  <si>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</si>
  <si>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</si>
  <si>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</si>
  <si>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</si>
  <si>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</si>
  <si>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</si>
  <si>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</si>
  <si>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</si>
  <si>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</si>
  <si>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</si>
  <si>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</si>
  <si>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</si>
  <si>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</si>
  <si>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</si>
  <si>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</si>
  <si>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</si>
  <si>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</si>
  <si>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</si>
  <si>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</si>
  <si>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</si>
  <si>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</si>
  <si>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</si>
  <si>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</si>
  <si>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</si>
  <si>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</si>
  <si>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</si>
  <si>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</si>
  <si>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</si>
  <si>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</si>
  <si>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</si>
  <si>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</si>
  <si>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</si>
  <si>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</si>
  <si>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</si>
  <si>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</si>
  <si>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</si>
  <si>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</si>
  <si>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</si>
  <si>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</si>
  <si>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</si>
  <si>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</si>
  <si>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</si>
  <si>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</si>
  <si>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</si>
  <si>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</si>
  <si>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</si>
  <si>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</si>
  <si>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</si>
  <si>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</si>
  <si>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</si>
  <si>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</si>
  <si>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</si>
  <si>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</si>
  <si>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</si>
  <si>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</si>
  <si>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</si>
  <si>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</si>
  <si>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</si>
  <si>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</si>
  <si>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</si>
  <si>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</si>
  <si>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</si>
  <si>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</si>
  <si>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</si>
  <si>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</si>
  <si>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</si>
  <si>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</si>
  <si>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</si>
  <si>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</si>
  <si>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</si>
  <si>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</si>
  <si>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</si>
  <si>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</si>
  <si>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</si>
  <si>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</si>
  <si>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</si>
  <si>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</si>
  <si>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</si>
  <si>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</si>
  <si>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</si>
  <si>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</si>
  <si>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</si>
  <si>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</si>
  <si>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</si>
  <si>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</si>
  <si>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</si>
  <si>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</si>
  <si>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</si>
  <si>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</si>
  <si>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</si>
  <si>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</si>
  <si>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</si>
  <si>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</si>
  <si>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</si>
  <si>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</si>
  <si>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</si>
  <si>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</si>
  <si>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</si>
  <si>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</si>
  <si>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</si>
  <si>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</si>
  <si>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</si>
  <si>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</si>
  <si>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</si>
  <si>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</si>
  <si>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</si>
  <si>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</si>
  <si>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</si>
  <si>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</si>
  <si>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</si>
  <si>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</si>
  <si>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</si>
  <si>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</si>
  <si>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</si>
  <si>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</si>
  <si>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</si>
  <si>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</si>
  <si>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</si>
  <si>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</si>
  <si>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</si>
  <si>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</si>
  <si>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</si>
  <si>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</si>
  <si>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</si>
  <si>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</si>
  <si>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</si>
  <si>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</si>
  <si>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</si>
  <si>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</si>
  <si>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</si>
  <si>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</si>
  <si>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</si>
  <si>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</si>
  <si>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</si>
  <si>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</si>
  <si>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</si>
  <si>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</si>
  <si>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</si>
  <si>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</si>
  <si>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</si>
  <si>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</si>
  <si>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</si>
  <si>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</si>
  <si>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</si>
  <si>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</si>
  <si>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</si>
  <si>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</si>
  <si>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</si>
  <si>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</si>
  <si>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</si>
  <si>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</si>
  <si>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</si>
  <si>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</si>
  <si>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</si>
  <si>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</si>
  <si>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</si>
  <si>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</si>
  <si>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</si>
  <si>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</si>
  <si>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</si>
  <si>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</si>
  <si>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</si>
  <si>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</si>
  <si>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</si>
  <si>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</si>
  <si>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</si>
  <si>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</si>
  <si>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</si>
  <si>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</si>
  <si>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</si>
  <si>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</si>
  <si>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</si>
  <si>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</si>
  <si>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</si>
  <si>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</si>
  <si>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</si>
  <si>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</si>
  <si>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</si>
  <si>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</si>
  <si>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</si>
  <si>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</si>
  <si>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</si>
  <si>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</si>
  <si>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</si>
  <si>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</si>
  <si>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</si>
  <si>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</si>
  <si>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</si>
  <si>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</si>
  <si>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</si>
  <si>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</si>
  <si>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</si>
  <si>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</si>
  <si>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</si>
  <si>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</si>
  <si>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</si>
  <si>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</si>
  <si>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</si>
  <si>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</si>
  <si>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</si>
  <si>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</si>
  <si>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</si>
  <si>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</si>
  <si>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</si>
  <si>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</si>
  <si>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</si>
  <si>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</si>
  <si>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</si>
  <si>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</si>
  <si>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</si>
  <si>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</si>
  <si>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</si>
  <si>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</si>
  <si>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</si>
  <si>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</si>
  <si>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</si>
  <si>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</si>
  <si>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</si>
  <si>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</si>
  <si>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</si>
  <si>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</si>
  <si>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</si>
  <si>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</si>
  <si>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</si>
  <si>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</si>
  <si>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</si>
  <si>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</si>
  <si>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</si>
  <si>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</si>
  <si>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</si>
  <si>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</si>
  <si>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</si>
  <si>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</si>
  <si>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</si>
  <si>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</si>
  <si>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</si>
  <si>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</si>
  <si>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</si>
  <si>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</si>
  <si>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</si>
  <si>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</si>
  <si>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</si>
  <si>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</si>
  <si>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</si>
  <si>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</si>
  <si>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</si>
  <si>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</si>
  <si>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</si>
  <si>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</si>
  <si>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</si>
  <si>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</si>
  <si>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</si>
  <si>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</si>
  <si>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</si>
  <si>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</si>
  <si>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</si>
  <si>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</si>
  <si>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</si>
  <si>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</si>
  <si>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</si>
  <si>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</si>
  <si>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</si>
  <si>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</si>
  <si>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</si>
  <si>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</si>
  <si>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</si>
  <si>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</si>
  <si>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</si>
  <si>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</si>
  <si>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</si>
  <si>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</si>
  <si>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</si>
  <si>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</si>
  <si>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</si>
  <si>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</si>
  <si>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</si>
  <si>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</si>
  <si>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</si>
  <si>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</si>
  <si>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</si>
  <si>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</si>
  <si>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</si>
  <si>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</si>
  <si>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</si>
  <si>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</si>
  <si>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</si>
  <si>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</si>
  <si>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</si>
  <si>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</si>
  <si>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</si>
  <si>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</si>
  <si>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</si>
  <si>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</si>
  <si>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</si>
  <si>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</si>
  <si>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</si>
  <si>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</si>
  <si>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</si>
  <si>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</si>
  <si>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</si>
  <si>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</si>
  <si>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</si>
  <si>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</si>
  <si>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</si>
  <si>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</si>
  <si>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</si>
  <si>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</si>
  <si>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</si>
  <si>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</si>
  <si>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</si>
  <si>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</si>
  <si>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</si>
  <si>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</si>
  <si>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</si>
  <si>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</si>
  <si>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</si>
  <si>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</si>
  <si>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</si>
  <si>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</si>
  <si>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</si>
  <si>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</si>
  <si>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</si>
  <si>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</si>
  <si>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</si>
  <si>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</si>
  <si>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</si>
  <si>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</si>
  <si>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</si>
  <si>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</si>
  <si>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</si>
  <si>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</si>
  <si>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</si>
  <si>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</si>
  <si>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</si>
  <si>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</si>
  <si>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</si>
  <si>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</si>
  <si>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</si>
  <si>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</si>
  <si>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</si>
  <si>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</si>
  <si>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</si>
  <si>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</si>
  <si>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</si>
  <si>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</si>
  <si>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</si>
  <si>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</si>
  <si>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</si>
  <si>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</si>
  <si>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</si>
  <si>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</si>
  <si>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</si>
  <si>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</si>
  <si>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</si>
  <si>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</si>
  <si>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</si>
  <si>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</si>
  <si>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</si>
  <si>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</si>
  <si>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</si>
  <si>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</si>
  <si>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</si>
  <si>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</si>
  <si>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</si>
  <si>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</si>
  <si>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</si>
  <si>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</si>
  <si>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</si>
  <si>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</si>
  <si>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</si>
  <si>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</si>
  <si>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</si>
  <si>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</si>
  <si>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</si>
  <si>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</si>
  <si>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</si>
  <si>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</si>
  <si>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</si>
  <si>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</si>
  <si>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</si>
  <si>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</si>
  <si>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</si>
  <si>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</si>
  <si>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</si>
  <si>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</si>
  <si>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</si>
  <si>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</si>
  <si>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</si>
  <si>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</si>
  <si>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</si>
  <si>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</si>
  <si>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</si>
  <si>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</si>
  <si>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</si>
  <si>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</si>
  <si>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</si>
  <si>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</si>
  <si>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</si>
  <si>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</si>
  <si>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</si>
  <si>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</si>
  <si>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</si>
  <si>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</si>
  <si>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</si>
  <si>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</si>
  <si>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</si>
  <si>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</si>
  <si>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</si>
  <si>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</si>
  <si>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</si>
  <si>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</si>
  <si>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</si>
  <si>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</si>
  <si>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</si>
  <si>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</si>
  <si>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</si>
  <si>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</si>
  <si>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</si>
  <si>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</si>
  <si>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</si>
  <si>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</si>
  <si>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</si>
  <si>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</si>
  <si>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</si>
  <si>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</si>
  <si>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</si>
  <si>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</si>
  <si>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</si>
  <si>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</si>
  <si>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</si>
  <si>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</si>
  <si>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</si>
  <si>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</si>
  <si>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</si>
  <si>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</si>
  <si>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</si>
  <si>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</si>
  <si>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</si>
  <si>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</si>
  <si>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</si>
  <si>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</si>
  <si>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</si>
  <si>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</si>
  <si>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</si>
  <si>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</si>
  <si>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</si>
  <si>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</si>
  <si>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</si>
  <si>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</si>
  <si>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</si>
  <si>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</si>
  <si>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</si>
  <si>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</si>
  <si>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</si>
  <si>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</si>
  <si>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</si>
  <si>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</si>
  <si>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</si>
  <si>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</si>
  <si>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</si>
  <si>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</si>
  <si>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</si>
  <si>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</si>
  <si>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</si>
  <si>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</si>
  <si>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</si>
  <si>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</si>
  <si>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</si>
  <si>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</si>
  <si>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</si>
  <si>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</si>
  <si>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</si>
  <si>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</si>
  <si>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</si>
  <si>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</si>
  <si>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</si>
  <si>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</si>
  <si>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</si>
  <si>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</si>
  <si>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</si>
  <si>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</si>
  <si>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</si>
  <si>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</si>
  <si>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</si>
  <si>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</si>
  <si>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</si>
  <si>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</si>
  <si>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</si>
  <si>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</si>
  <si>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</si>
  <si>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</si>
  <si>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</si>
  <si>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</si>
  <si>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</si>
  <si>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</si>
  <si>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</si>
  <si>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</si>
  <si>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</si>
  <si>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</si>
  <si>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</si>
  <si>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</si>
  <si>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</si>
  <si>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</si>
  <si>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</si>
  <si>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</si>
  <si>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</si>
  <si>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</si>
  <si>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</si>
  <si>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</si>
  <si>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</si>
  <si>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</si>
  <si>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</si>
  <si>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</si>
  <si>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</si>
  <si>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</si>
  <si>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</si>
  <si>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</si>
  <si>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</si>
  <si>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</si>
  <si>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</si>
  <si>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</si>
  <si>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</si>
  <si>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</si>
  <si>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</si>
  <si>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</si>
  <si>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</si>
  <si>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</si>
  <si>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</si>
  <si>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</si>
  <si>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</si>
  <si>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</si>
  <si>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</si>
  <si>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</si>
  <si>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</si>
  <si>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</si>
  <si>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</si>
  <si>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</si>
  <si>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</si>
  <si>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</si>
  <si>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</si>
  <si>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</si>
  <si>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</si>
  <si>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</si>
  <si>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</si>
  <si>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</si>
  <si>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</si>
  <si>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</si>
  <si>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</si>
  <si>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</si>
  <si>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</si>
  <si>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</si>
  <si>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</si>
  <si>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</si>
  <si>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</si>
  <si>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</si>
  <si>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</si>
  <si>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</si>
  <si>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</si>
  <si>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</si>
  <si>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</si>
  <si>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</si>
  <si>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</si>
  <si>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</si>
  <si>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</si>
  <si>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</si>
  <si>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</si>
  <si>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</si>
  <si>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</si>
  <si>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</si>
  <si>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</si>
  <si>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</si>
  <si>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</si>
  <si>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</si>
  <si>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</si>
  <si>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</si>
  <si>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</si>
  <si>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</si>
  <si>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</si>
  <si>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</si>
  <si>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</si>
  <si>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</si>
  <si>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</si>
  <si>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</si>
  <si>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</si>
  <si>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</si>
  <si>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</si>
  <si>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</si>
  <si>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</si>
  <si>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</si>
  <si>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</si>
  <si>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</si>
  <si>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</si>
  <si>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</si>
  <si>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</si>
  <si>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</si>
  <si>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</si>
  <si>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</si>
  <si>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</si>
  <si>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</si>
  <si>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</si>
  <si>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</si>
  <si>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</si>
  <si>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</si>
  <si>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</si>
  <si>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</si>
  <si>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</si>
  <si>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</si>
  <si>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</si>
  <si>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</si>
  <si>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</si>
  <si>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</si>
  <si>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</si>
  <si>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</si>
  <si>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</si>
  <si>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</si>
  <si>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</si>
  <si>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</si>
  <si>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</si>
  <si>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</si>
  <si>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</si>
  <si>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</si>
  <si>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</si>
  <si>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</si>
  <si>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</si>
  <si>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</si>
  <si>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</si>
  <si>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</si>
  <si>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</si>
  <si>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</si>
  <si>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</si>
  <si>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</si>
  <si>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</si>
  <si>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</si>
  <si>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</si>
  <si>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</si>
  <si>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</si>
  <si>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</si>
  <si>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</si>
  <si>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</si>
  <si>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</si>
  <si>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</si>
  <si>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</si>
  <si>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</si>
  <si>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</si>
  <si>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</si>
  <si>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</si>
  <si>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</si>
  <si>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</si>
  <si>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</si>
  <si>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</si>
  <si>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</si>
  <si>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</si>
  <si>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</si>
  <si>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</si>
  <si>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</si>
  <si>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</si>
  <si>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</si>
  <si>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</si>
  <si>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</si>
  <si>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</si>
  <si>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</si>
  <si>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</si>
  <si>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</si>
  <si>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</si>
  <si>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</si>
  <si>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</si>
  <si>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</si>
  <si>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</si>
  <si>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</si>
  <si>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</si>
  <si>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</si>
  <si>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</si>
  <si>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</si>
  <si>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</si>
  <si>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</si>
  <si>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</si>
  <si>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</si>
  <si>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</si>
  <si>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</si>
  <si>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</si>
  <si>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</si>
  <si>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</si>
  <si>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</si>
  <si>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</si>
  <si>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</si>
  <si>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</si>
  <si>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</si>
  <si>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</si>
  <si>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</si>
  <si>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</si>
  <si>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</si>
  <si>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</si>
  <si>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</si>
  <si>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</si>
  <si>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</si>
  <si>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</si>
  <si>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</si>
  <si>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</si>
  <si>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</si>
  <si>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</si>
  <si>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</si>
  <si>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</si>
  <si>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</si>
  <si>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</si>
  <si>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</si>
  <si>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</si>
  <si>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</si>
  <si>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</si>
  <si>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</si>
  <si>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</si>
  <si>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</si>
  <si>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</si>
  <si>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</si>
  <si>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</si>
  <si>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</si>
  <si>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</si>
  <si>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</si>
  <si>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</si>
  <si>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</si>
  <si>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</si>
  <si>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</si>
  <si>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</si>
  <si>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</si>
  <si>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</si>
  <si>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</si>
  <si>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</si>
  <si>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</si>
  <si>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</si>
  <si>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</si>
  <si>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</si>
  <si>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</si>
  <si>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</si>
  <si>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</si>
  <si>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</si>
  <si>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</si>
  <si>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</si>
  <si>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</si>
  <si>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</si>
  <si>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</si>
  <si>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</si>
  <si>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</si>
  <si>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</si>
  <si>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</si>
  <si>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</si>
  <si>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</si>
  <si>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</si>
  <si>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</si>
  <si>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</si>
  <si>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</si>
  <si>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</si>
  <si>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</si>
  <si>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</si>
  <si>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</si>
  <si>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</si>
  <si>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</si>
  <si>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</si>
  <si>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</si>
  <si>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</si>
  <si>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</si>
  <si>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</si>
  <si>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</si>
  <si>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</si>
  <si>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</si>
  <si>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</si>
  <si>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</si>
  <si>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</si>
  <si>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</si>
  <si>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</si>
  <si>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</si>
  <si>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</si>
  <si>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</si>
  <si>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</si>
  <si>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</si>
  <si>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</si>
  <si>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</si>
  <si>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</si>
  <si>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</si>
  <si>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</si>
  <si>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</si>
  <si>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</si>
  <si>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</si>
  <si>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</si>
  <si>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</si>
  <si>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</si>
  <si>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</si>
  <si>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</si>
  <si>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</si>
  <si>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</si>
  <si>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</si>
  <si>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</si>
  <si>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</si>
  <si>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</si>
  <si>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</si>
  <si>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</si>
  <si>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</si>
  <si>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</si>
  <si>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</si>
  <si>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</si>
  <si>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</si>
  <si>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</si>
  <si>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</si>
  <si>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</si>
  <si>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</si>
  <si>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</si>
  <si>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</si>
  <si>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</si>
  <si>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</si>
  <si>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</si>
  <si>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</si>
  <si>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</si>
  <si>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</si>
  <si>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</si>
  <si>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</si>
  <si>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</si>
  <si>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</si>
  <si>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</si>
  <si>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</si>
  <si>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</si>
  <si>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</si>
  <si>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</si>
  <si>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</si>
  <si>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</si>
  <si>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</si>
  <si>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</si>
  <si>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</si>
  <si>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</si>
  <si>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</si>
  <si>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</si>
  <si>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</si>
  <si>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</si>
  <si>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</si>
  <si>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</si>
  <si>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</si>
  <si>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</si>
  <si>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</si>
  <si>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</si>
  <si>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</si>
  <si>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</si>
  <si>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</si>
  <si>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</si>
  <si>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</si>
  <si>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</si>
  <si>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</si>
  <si>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</si>
  <si>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</si>
  <si>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</si>
  <si>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</si>
  <si>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</si>
  <si>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</si>
  <si>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</si>
  <si>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</si>
  <si>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</si>
  <si>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</si>
  <si>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</si>
  <si>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</si>
  <si>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</si>
  <si>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</si>
  <si>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</si>
  <si>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</si>
  <si>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</si>
  <si>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</si>
  <si>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</si>
  <si>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</si>
  <si>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</si>
  <si>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</si>
  <si>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</si>
  <si>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</si>
  <si>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</si>
  <si>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</si>
  <si>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</si>
  <si>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</si>
  <si>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</si>
  <si>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</si>
  <si>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</si>
  <si>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</si>
  <si>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</si>
  <si>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</si>
  <si>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</si>
  <si>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</si>
  <si>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</si>
  <si>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</si>
  <si>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</si>
  <si>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</si>
  <si>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</si>
  <si>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</si>
  <si>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</si>
  <si>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</si>
  <si>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</si>
  <si>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</si>
  <si>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</si>
  <si>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</si>
  <si>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</si>
  <si>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</si>
  <si>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</si>
  <si>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</si>
  <si>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</si>
  <si>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</si>
  <si>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</si>
  <si>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</si>
  <si>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</si>
  <si>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</si>
  <si>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</si>
  <si>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</si>
  <si>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</si>
  <si>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</si>
  <si>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</si>
  <si>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</si>
  <si>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</si>
  <si>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</si>
  <si>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</si>
  <si>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</si>
  <si>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</si>
  <si>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</si>
  <si>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</si>
  <si>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</si>
  <si>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</si>
  <si>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</si>
  <si>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</si>
  <si>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</si>
  <si>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</si>
  <si>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</si>
  <si>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</si>
  <si>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</si>
  <si>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</si>
  <si>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</si>
  <si>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</si>
  <si>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</si>
  <si>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</si>
  <si>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</si>
  <si>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</si>
  <si>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</si>
  <si>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</si>
  <si>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</si>
  <si>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</si>
  <si>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</si>
  <si>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</si>
  <si>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</si>
  <si>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</si>
  <si>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</si>
  <si>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</si>
  <si>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</si>
  <si>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</si>
  <si>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</si>
  <si>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</si>
  <si>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</si>
  <si>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</si>
  <si>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</si>
  <si>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</si>
  <si>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</si>
  <si>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</si>
  <si>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</si>
  <si>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</si>
  <si>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</si>
  <si>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</si>
  <si>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</si>
  <si>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</si>
  <si>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</si>
  <si>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</si>
  <si>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</si>
  <si>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</si>
  <si>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</si>
  <si>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</si>
  <si>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</si>
  <si>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</si>
  <si>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</si>
  <si>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</si>
  <si>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</si>
  <si>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</si>
  <si>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</si>
  <si>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</si>
  <si>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</si>
  <si>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</si>
  <si>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</si>
  <si>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</si>
  <si>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</si>
  <si>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</si>
  <si>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</si>
  <si>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</si>
  <si>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</si>
  <si>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</si>
  <si>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</si>
  <si>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</si>
  <si>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</si>
  <si>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</si>
  <si>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</si>
  <si>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</si>
  <si>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</si>
  <si>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</si>
  <si>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</si>
  <si>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</si>
  <si>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</si>
  <si>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</si>
  <si>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</si>
  <si>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</si>
  <si>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</si>
  <si>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</si>
  <si>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</si>
  <si>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</si>
  <si>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</si>
  <si>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</si>
  <si>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</si>
  <si>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</si>
  <si>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</si>
  <si>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</si>
  <si>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</si>
  <si>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</si>
  <si>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</si>
  <si>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</si>
  <si>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</si>
  <si>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</si>
  <si>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</si>
  <si>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</si>
  <si>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</si>
  <si>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</si>
  <si>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</si>
  <si>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</si>
  <si>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</si>
  <si>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</si>
  <si>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</si>
  <si>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</si>
  <si>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</si>
  <si>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</si>
  <si>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</si>
  <si>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</si>
  <si>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</si>
  <si>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</si>
  <si>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</si>
  <si>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</si>
  <si>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</si>
  <si>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</si>
  <si>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</si>
  <si>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</si>
  <si>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</si>
  <si>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</si>
  <si>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</si>
  <si>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</si>
  <si>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</si>
  <si>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</si>
  <si>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</si>
  <si>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</si>
  <si>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</si>
  <si>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</si>
  <si>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</si>
  <si>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</si>
  <si>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</si>
  <si>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</si>
  <si>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</si>
  <si>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</si>
  <si>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</si>
  <si>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</si>
  <si>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</si>
  <si>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</si>
  <si>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</si>
  <si>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</si>
  <si>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</si>
  <si>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</si>
  <si>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</si>
  <si>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</si>
  <si>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</si>
  <si>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</si>
  <si>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</si>
  <si>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</si>
  <si>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</si>
  <si>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</si>
  <si>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</si>
  <si>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</si>
  <si>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</si>
  <si>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</si>
  <si>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</si>
  <si>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</si>
  <si>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</si>
  <si>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</si>
  <si>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</si>
  <si>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</si>
  <si>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</si>
  <si>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</si>
  <si>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</si>
  <si>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</si>
  <si>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</si>
  <si>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</si>
  <si>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</si>
  <si>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</si>
  <si>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</si>
  <si>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</si>
  <si>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</si>
  <si>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</si>
  <si>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</si>
  <si>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</si>
  <si>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</si>
  <si>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</si>
  <si>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</si>
  <si>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</si>
  <si>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</si>
  <si>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</si>
  <si>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</si>
  <si>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</si>
  <si>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</si>
  <si>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</si>
  <si>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</si>
  <si>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</si>
  <si>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</si>
  <si>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</si>
  <si>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</si>
  <si>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</si>
  <si>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</si>
  <si>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</si>
  <si>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</si>
  <si>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</si>
  <si>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</si>
  <si>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</si>
  <si>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</si>
  <si>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</si>
  <si>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</si>
  <si>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</si>
  <si>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</si>
  <si>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</si>
  <si>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</si>
  <si>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</si>
  <si>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</si>
  <si>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Victim Compensation Board</t>
  </si>
  <si>
    <t>0214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</si>
</sst>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20">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8" fontId="6" fillId="2" borderId="0" xfId="2" applyNumberFormat="1" applyFont="1" applyFill="1" applyAlignment="1" applyProtection="1">
      <alignment horizontal="left" vertical="top"/>
      <protection locked="0"/>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xf numFmtId="164" fontId="3" fillId="2" borderId="0" xfId="0" quotePrefix="1" applyNumberFormat="1" applyFont="1" applyFill="1" applyAlignment="1" applyProtection="1">
      <alignment horizontal="left"/>
      <protection locked="0"/>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5" sqref="E5"/>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Q22" sqref="Q2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1222</v>
      </c>
      <c r="G5" s="194"/>
      <c r="H5" s="194"/>
      <c r="I5" s="194"/>
      <c r="L5" s="12"/>
      <c r="M5" s="12"/>
      <c r="N5" s="12"/>
      <c r="O5" s="12"/>
      <c r="P5" s="12"/>
      <c r="Q5" s="12"/>
    </row>
    <row r="6" spans="1:20" ht="16.5" customHeight="1" x14ac:dyDescent="0.25">
      <c r="A6" s="192" t="s">
        <v>1634</v>
      </c>
      <c r="B6" s="192"/>
      <c r="C6" s="192"/>
      <c r="D6" s="192"/>
      <c r="E6" s="192"/>
      <c r="F6" s="195" t="s">
        <v>1716</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ref="S16:S19" si="0">P16-M16</f>
        <v>0</v>
      </c>
      <c r="T16" s="180" t="s">
        <v>1684</v>
      </c>
    </row>
    <row r="17" spans="1:20" ht="16.5" customHeight="1" x14ac:dyDescent="0.25">
      <c r="A17" s="159" t="s">
        <v>1637</v>
      </c>
      <c r="B17" s="9" t="s">
        <v>172</v>
      </c>
      <c r="C17" s="9"/>
      <c r="D17" s="9"/>
      <c r="E17" s="140"/>
      <c r="F17" s="141"/>
      <c r="G17" s="141"/>
      <c r="H17" s="142"/>
      <c r="I17" s="142"/>
      <c r="J17" s="178">
        <f>M17</f>
        <v>12700352</v>
      </c>
      <c r="M17" s="143">
        <v>12700352</v>
      </c>
      <c r="P17" s="143">
        <v>12700352</v>
      </c>
      <c r="Q17" s="155"/>
      <c r="S17" s="154">
        <f>P17-M17</f>
        <v>0</v>
      </c>
      <c r="T17" s="180" t="s">
        <v>1684</v>
      </c>
    </row>
    <row r="18" spans="1:20" ht="16.5" customHeight="1" x14ac:dyDescent="0.25">
      <c r="A18" s="54"/>
      <c r="B18" s="9" t="s">
        <v>168</v>
      </c>
      <c r="C18" s="9"/>
      <c r="D18" s="9"/>
      <c r="E18" s="140"/>
      <c r="F18" s="141"/>
      <c r="G18" s="141"/>
      <c r="H18" s="142"/>
      <c r="I18" s="142"/>
      <c r="J18" s="178">
        <f>P18</f>
        <v>94413</v>
      </c>
      <c r="M18" s="143">
        <v>114413</v>
      </c>
      <c r="P18" s="152">
        <f>IF(SUM($Q$20:$Q$23)&gt;SUM($P$15:$P$17),SUM($Q$20:$Q$23)-SUM($P$15:$P$17),0)</f>
        <v>94413</v>
      </c>
      <c r="Q18" s="155"/>
      <c r="S18" s="154">
        <f t="shared" si="0"/>
        <v>-20000</v>
      </c>
      <c r="T18" s="179" t="s">
        <v>1668</v>
      </c>
    </row>
    <row r="19" spans="1:20" ht="16.5" customHeight="1" x14ac:dyDescent="0.25">
      <c r="A19" s="54"/>
      <c r="B19" s="9" t="s">
        <v>169</v>
      </c>
      <c r="C19" s="9"/>
      <c r="D19" s="9"/>
      <c r="E19" s="140"/>
      <c r="F19" s="141"/>
      <c r="G19" s="141"/>
      <c r="H19" s="142"/>
      <c r="I19" s="142"/>
      <c r="J19" s="178">
        <f>IF(SUM($K$20:$K$24)&gt;SUM($J$15:$J$18),SUM($K$20:$K$24)-SUM($J$15:$J$18),0)</f>
        <v>20001</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661477</v>
      </c>
      <c r="N22" s="143">
        <v>661477</v>
      </c>
      <c r="P22" s="155"/>
      <c r="Q22" s="143">
        <v>641477</v>
      </c>
      <c r="S22" s="154">
        <f t="shared" ref="S22:S25" si="1">Q22-N22</f>
        <v>-20000</v>
      </c>
      <c r="T22" s="179" t="s">
        <v>1668</v>
      </c>
    </row>
    <row r="23" spans="1:20" ht="16.5" customHeight="1" x14ac:dyDescent="0.25">
      <c r="A23" s="165" t="s">
        <v>1645</v>
      </c>
      <c r="B23" s="9"/>
      <c r="C23" s="9" t="s">
        <v>173</v>
      </c>
      <c r="D23" s="9"/>
      <c r="E23" s="140"/>
      <c r="F23" s="141"/>
      <c r="G23" s="141"/>
      <c r="H23" s="142"/>
      <c r="I23" s="142"/>
      <c r="J23" s="150"/>
      <c r="K23" s="178">
        <f>N23</f>
        <v>12153289</v>
      </c>
      <c r="N23" s="143">
        <v>12153289</v>
      </c>
      <c r="P23" s="155"/>
      <c r="Q23" s="143">
        <v>12153288</v>
      </c>
      <c r="S23" s="154">
        <f t="shared" si="1"/>
        <v>-1</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12814766</v>
      </c>
      <c r="K26" s="107">
        <f>SUM(K15:K25)</f>
        <v>12814766</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1587544.050616787</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1587544.050616787</v>
      </c>
    </row>
    <row r="59" spans="1:16" ht="16.5" customHeight="1" x14ac:dyDescent="0.25">
      <c r="A59" s="54"/>
      <c r="C59" s="16"/>
      <c r="D59" s="16"/>
      <c r="E59" s="16"/>
      <c r="F59" s="17"/>
      <c r="G59" s="17"/>
      <c r="H59" s="18"/>
      <c r="I59" s="18"/>
      <c r="J59" s="107">
        <f>SUM(J55:J58)</f>
        <v>1587544.050616787</v>
      </c>
      <c r="K59" s="107">
        <f>SUM(K55:K58)</f>
        <v>1587544.050616787</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1072588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331894</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1404482</v>
      </c>
    </row>
    <row r="65" spans="1:12" ht="16.5" customHeight="1" x14ac:dyDescent="0.25">
      <c r="A65" s="54"/>
      <c r="C65" s="16"/>
      <c r="D65" s="16"/>
      <c r="E65" s="16"/>
      <c r="F65" s="17"/>
      <c r="G65" s="17"/>
      <c r="H65" s="18"/>
      <c r="I65" s="18"/>
      <c r="J65" s="107">
        <f>SUM(J62:J64)</f>
        <v>1404482</v>
      </c>
      <c r="K65" s="107">
        <f>SUM(K62:K64)</f>
        <v>1404482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1072588</v>
      </c>
      <c r="K68" s="144"/>
    </row>
    <row r="69" spans="1:12" ht="16.5" customHeight="1" x14ac:dyDescent="0.25">
      <c r="A69" s="54"/>
      <c r="B69" s="9"/>
      <c r="C69" s="9" t="s">
        <v>185</v>
      </c>
      <c r="D69" s="140"/>
      <c r="E69" s="140"/>
      <c r="F69" s="141"/>
      <c r="G69" s="141"/>
      <c r="H69" s="142"/>
      <c r="I69" s="142"/>
      <c r="J69" s="144"/>
      <c r="K69" s="143">
        <v>1072588</v>
      </c>
      <c r="L69" s="10" t="str">
        <f>IF($J$62=$K$69,"","&lt;- Accts 0848 must agree")</f>
        <v/>
      </c>
    </row>
    <row r="70" spans="1:12" ht="16.5" customHeight="1" x14ac:dyDescent="0.25">
      <c r="A70" s="54"/>
      <c r="C70" s="16"/>
      <c r="D70" s="16"/>
      <c r="E70" s="16"/>
      <c r="F70" s="17"/>
      <c r="G70" s="17"/>
      <c r="H70" s="18"/>
      <c r="I70" s="18"/>
      <c r="J70" s="107">
        <f>SUM(J68:J69)</f>
        <v>1072588</v>
      </c>
      <c r="K70" s="107">
        <f>SUM(K68:K69)</f>
        <v>1072588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1430872.1574857524</v>
      </c>
      <c r="K75" s="144"/>
    </row>
    <row r="76" spans="1:12" ht="16.5" customHeight="1" x14ac:dyDescent="0.25">
      <c r="A76" s="54"/>
      <c r="B76" s="9"/>
      <c r="C76" s="9" t="s">
        <v>193</v>
      </c>
      <c r="D76" s="140"/>
      <c r="E76" s="140"/>
      <c r="F76" s="141"/>
      <c r="G76" s="141"/>
      <c r="H76" s="142"/>
      <c r="I76" s="142"/>
      <c r="J76" s="144"/>
      <c r="K76" s="143">
        <v>1430872.1574857524</v>
      </c>
    </row>
    <row r="77" spans="1:12" ht="16.5" customHeight="1" x14ac:dyDescent="0.2">
      <c r="A77" s="54"/>
      <c r="B77" s="190" t="s">
        <v>1672</v>
      </c>
      <c r="C77" s="190"/>
      <c r="D77" s="190"/>
      <c r="E77" s="190"/>
      <c r="F77" s="190"/>
      <c r="G77" s="190"/>
      <c r="H77" s="190"/>
      <c r="I77" s="190"/>
      <c r="J77" s="107">
        <f>SUM(J75:J76)</f>
        <v>1430872.1574857524</v>
      </c>
      <c r="K77" s="107">
        <f>SUM(K75:K76)</f>
        <v>1430872.1574857524</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12700352</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-2249021.0506167868</v>
      </c>
    </row>
    <row r="128" spans="1:12" ht="16.5" customHeight="1" x14ac:dyDescent="0.25">
      <c r="D128" s="140" t="s">
        <v>1656</v>
      </c>
      <c r="H128" s="10"/>
      <c r="K128" s="169">
        <f>-K23-K48+J68+J75+J96-K113</f>
        <v>-9649828.8425142467</v>
      </c>
    </row>
    <row r="129" spans="4:11" ht="16.5" customHeight="1" x14ac:dyDescent="0.25">
      <c r="D129" s="140" t="s">
        <v>1657</v>
      </c>
      <c r="H129" s="10"/>
      <c r="K129" s="169">
        <f>-K76</f>
        <v>-1430872.1574857524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zoomScale="70" zoomScaleNormal="70" workbookViewId="0">
      <selection activeCell="D38" sqref="D3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7" t="s">
        <v>139</v>
      </c>
      <c r="B1" s="207"/>
      <c r="C1" s="207"/>
      <c r="D1" s="207"/>
      <c r="E1" s="207"/>
      <c r="F1" s="207"/>
      <c r="G1" s="3"/>
      <c r="H1" s="3"/>
      <c r="I1" s="3"/>
      <c r="J1" s="3"/>
      <c r="K1" s="3"/>
      <c r="L1" s="3"/>
      <c r="M1" s="3"/>
    </row>
    <row r="2" spans="1:13" ht="64.150000000000006" customHeight="1" x14ac:dyDescent="0.25">
      <c r="A2" s="206" t="s">
        <v>137</v>
      </c>
      <c r="B2" s="206"/>
      <c r="C2" s="206"/>
      <c r="D2" s="206"/>
      <c r="E2" s="206"/>
      <c r="F2" s="206"/>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8" t="s">
        <v>21</v>
      </c>
      <c r="C8" s="208"/>
      <c r="D8" s="3"/>
      <c r="E8" s="3"/>
      <c r="F8" s="3"/>
    </row>
    <row r="9" spans="1:13" ht="15.75" x14ac:dyDescent="0.25">
      <c r="A9" s="5" t="s">
        <v>192</v>
      </c>
      <c r="B9" s="219" t="s">
        <v>1222</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12" t="s">
        <v>1685</v>
      </c>
      <c r="B11" s="213"/>
      <c r="C11" s="213"/>
      <c r="D11" s="3"/>
      <c r="E11" s="3"/>
      <c r="F11" s="3"/>
      <c r="G11" s="29"/>
      <c r="H11" s="29"/>
      <c r="I11" s="29"/>
      <c r="J11" s="29"/>
      <c r="K11" s="29"/>
      <c r="L11" s="29"/>
      <c r="M11" s="29"/>
    </row>
    <row r="12" spans="1:13" ht="15" customHeight="1" x14ac:dyDescent="0.25">
      <c r="A12" s="51"/>
      <c r="B12" s="52" t="s">
        <v>8</v>
      </c>
      <c r="C12" s="52" t="s">
        <v>9</v>
      </c>
      <c r="D12" s="209" t="str">
        <f>"All of the below questions are for Fiscal Year "&amp;$B$8&amp;":"</f>
        <v>All of the below questions are for Fiscal Year 2023–2024:</v>
      </c>
      <c r="E12" s="209"/>
      <c r="F12" s="209"/>
      <c r="G12" s="29"/>
      <c r="H12" s="29"/>
      <c r="I12" s="29"/>
      <c r="J12" s="29"/>
      <c r="K12" s="29"/>
      <c r="L12" s="29"/>
      <c r="M12" s="29"/>
    </row>
    <row r="13" spans="1:13" ht="15.6" customHeight="1" x14ac:dyDescent="0.25">
      <c r="A13" s="51" t="str">
        <f>RIGHT(B8,4)&amp;"–"&amp;RIGHT(B8,4)+1</f>
        <v>2024–2025</v>
      </c>
      <c r="B13" s="55">
        <v>1430872.1574857524</v>
      </c>
      <c r="C13" s="55">
        <v>297353.07251424761</v>
      </c>
      <c r="D13" s="202" t="s">
        <v>4</v>
      </c>
      <c r="E13" s="203"/>
      <c r="F13" s="203"/>
      <c r="G13" s="29"/>
      <c r="H13" s="29"/>
      <c r="I13" s="29"/>
      <c r="J13" s="29"/>
      <c r="K13" s="29"/>
      <c r="L13" s="29"/>
      <c r="M13" s="29"/>
    </row>
    <row r="14" spans="1:13" x14ac:dyDescent="0.2">
      <c r="A14" s="51" t="str">
        <f>LEFT(A13,4)+1&amp;"–"&amp;RIGHT(A13,4)+1</f>
        <v>2025–2026</v>
      </c>
      <c r="B14" s="55">
        <v>1515959.6619822485</v>
      </c>
      <c r="C14" s="55">
        <v>255471.1680177516</v>
      </c>
      <c r="D14" s="202"/>
      <c r="E14" s="203"/>
      <c r="F14" s="203"/>
    </row>
    <row r="15" spans="1:13" ht="15.75" x14ac:dyDescent="0.2">
      <c r="A15" s="51" t="str">
        <f>LEFT(A14,4)+1&amp;"–"&amp;RIGHT(A14,4)+1</f>
        <v>2026–2027</v>
      </c>
      <c r="B15" s="55">
        <v>1604598.3767089278</v>
      </c>
      <c r="C15" s="55">
        <v>211118.2132910724</v>
      </c>
      <c r="D15" s="198" t="s">
        <v>124</v>
      </c>
      <c r="E15" s="198"/>
      <c r="F15" s="198"/>
      <c r="G15" s="30"/>
      <c r="H15" s="30"/>
      <c r="I15" s="30"/>
      <c r="J15" s="30"/>
      <c r="K15" s="30"/>
      <c r="L15" s="30"/>
      <c r="M15" s="30"/>
    </row>
    <row r="16" spans="1:13" x14ac:dyDescent="0.2">
      <c r="A16" s="51" t="str">
        <f>LEFT(A15,4)+1&amp;"–"&amp;RIGHT(A15,4)+1</f>
        <v>2027–2028</v>
      </c>
      <c r="B16" s="55">
        <v>1696918.2283575013</v>
      </c>
      <c r="C16" s="55">
        <v>164191.31164249842</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1793053.4609768311</v>
      </c>
      <c r="C17" s="55">
        <v>114583.80902316893</v>
      </c>
      <c r="D17" s="198" t="s">
        <v>1667</v>
      </c>
      <c r="E17" s="198"/>
      <c r="F17" s="198"/>
      <c r="G17" s="31"/>
      <c r="H17" s="31"/>
      <c r="I17" s="31"/>
      <c r="J17" s="31"/>
      <c r="K17" s="31"/>
    </row>
    <row r="18" spans="1:13" ht="15" customHeight="1" x14ac:dyDescent="0.25">
      <c r="A18" s="51" t="str">
        <f>LEFT(A17,4)+1&amp;"–"&amp;RIGHT(A17,4)+5</f>
        <v>2029–2034</v>
      </c>
      <c r="B18" s="55">
        <v>3039298.7842686363</v>
      </c>
      <c r="C18" s="55">
        <v>73099.475731364073</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t="s">
        <v>1667</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205">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t="s">
        <v>1667</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4" t="str">
        <f>B9</f>
        <v>7870</v>
      </c>
      <c r="C40" s="214"/>
      <c r="E40" s="32"/>
    </row>
    <row r="41" spans="1:13" ht="15.75" x14ac:dyDescent="0.25">
      <c r="A41" s="5" t="s">
        <v>191</v>
      </c>
      <c r="B41" s="197" t="str">
        <f>B10</f>
        <v>California Victim Compensation Board</v>
      </c>
      <c r="C41" s="197"/>
      <c r="E41" s="32"/>
    </row>
    <row r="42" spans="1:13" ht="32.25" customHeight="1" x14ac:dyDescent="0.25">
      <c r="A42" s="212" t="s">
        <v>1685</v>
      </c>
      <c r="B42" s="213"/>
      <c r="C42" s="213"/>
      <c r="D42" s="3"/>
      <c r="E42" s="3"/>
      <c r="F42" s="3"/>
      <c r="G42" s="29"/>
      <c r="H42" s="29"/>
      <c r="I42" s="29"/>
      <c r="J42" s="29"/>
      <c r="K42" s="29"/>
      <c r="L42" s="29"/>
      <c r="M42" s="29"/>
    </row>
    <row r="43" spans="1:13" ht="15" customHeight="1" x14ac:dyDescent="0.25">
      <c r="A43" s="51"/>
      <c r="B43" s="52" t="s">
        <v>8</v>
      </c>
      <c r="C43" s="52" t="s">
        <v>9</v>
      </c>
      <c r="D43" s="209" t="str">
        <f>"All of the below questions are for Fiscal Year "&amp;$B$8&amp;":"</f>
        <v>All of the below questions are for Fiscal Year 2023–2024:</v>
      </c>
      <c r="E43" s="209"/>
      <c r="F43" s="209"/>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4" t="str">
        <f>B9</f>
        <v>7870</v>
      </c>
      <c r="C71" s="214"/>
    </row>
    <row r="72" spans="1:13" ht="15.75" x14ac:dyDescent="0.25">
      <c r="A72" s="5" t="s">
        <v>191</v>
      </c>
      <c r="B72" s="197" t="str">
        <f>B10</f>
        <v>California Victim Compensation Board</v>
      </c>
      <c r="C72" s="197"/>
    </row>
    <row r="73" spans="1:13" ht="32.25" customHeight="1" x14ac:dyDescent="0.25">
      <c r="A73" s="212" t="s">
        <v>1685</v>
      </c>
      <c r="B73" s="213"/>
      <c r="C73" s="213"/>
      <c r="D73" s="3"/>
      <c r="E73" s="3"/>
      <c r="F73" s="3"/>
      <c r="G73" s="29"/>
      <c r="H73" s="29"/>
      <c r="I73" s="29"/>
      <c r="J73" s="29"/>
      <c r="K73" s="29"/>
      <c r="L73" s="29"/>
      <c r="M73" s="29"/>
    </row>
    <row r="74" spans="1:13" ht="15.75" x14ac:dyDescent="0.25">
      <c r="A74" s="51"/>
      <c r="B74" s="52" t="s">
        <v>8</v>
      </c>
      <c r="C74" s="52" t="s">
        <v>9</v>
      </c>
      <c r="D74" s="209" t="str">
        <f>"All of the below questions are for Fiscal Year "&amp;$B$8&amp;":"</f>
        <v>All of the below questions are for Fiscal Year 2023–2024:</v>
      </c>
      <c r="E74" s="209"/>
      <c r="F74" s="209"/>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70" zoomScaleNormal="70" workbookViewId="0">
      <selection activeCell="F10" sqref="F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0214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7870 - California Victim Compensation Board</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v>12153289</v>
      </c>
      <c r="G10" s="58"/>
      <c r="H10" s="61">
        <f>IF('LS-Fund 0214 Journal Entries'!$F$8="Governmental Fund",SUM('LS-Fund 0214 Journal Entries'!$K$48,'LS-Fund 0214 Journal Entries'!K113),0)</f>
        <v>0</v>
      </c>
      <c r="I10" s="58"/>
      <c r="J10" s="61">
        <v>1072588.0316013596</v>
      </c>
      <c r="K10" s="58"/>
      <c r="L10" s="63">
        <f>SUM(F10+H10-J10)</f>
        <v>11080700.96839864</v>
      </c>
      <c r="M10" s="58"/>
      <c r="N10" s="61">
        <f>IF('LS-Fund 0214 Journal Entries'!$F$8="Governmental Fund",'LS-Fund 0214 Journal Entries'!$K$76,0)</f>
        <v>1430872.1574857524</v>
      </c>
      <c r="O10" s="58"/>
      <c r="P10" s="63">
        <f>L10-N10</f>
        <v>9649828.8109128885</v>
      </c>
      <c r="Q10" s="43"/>
    </row>
    <row r="11" spans="2:17" ht="19.5" thickTop="1" thickBot="1" x14ac:dyDescent="0.3">
      <c r="B11" s="41"/>
      <c r="C11" s="45" t="s">
        <v>18</v>
      </c>
      <c r="F11" s="62">
        <f>SUM(F10:F10)</f>
        <v>12153289</v>
      </c>
      <c r="G11" s="58"/>
      <c r="H11" s="62">
        <f>SUM(H10:H10)</f>
        <v>0</v>
      </c>
      <c r="I11" s="58"/>
      <c r="J11" s="62">
        <f>SUM(J10:J10)</f>
        <v>1072588.0316013596</v>
      </c>
      <c r="K11" s="58"/>
      <c r="L11" s="62">
        <f>SUM(L10:L10)</f>
        <v>11080700.96839864</v>
      </c>
      <c r="M11" s="58"/>
      <c r="N11" s="62">
        <f>SUM(N10:N10)</f>
        <v>1430872.1574857524</v>
      </c>
      <c r="O11" s="58"/>
      <c r="P11" s="62">
        <f>SUM(P10:P10)</f>
        <v>9649828.8109128885</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0214 Journal Entries'!$F$8="Proprietary - Internal Service Fund",'LS-Fund 0214 Journal Entries'!$K$23,0)</f>
        <v>0</v>
      </c>
      <c r="G14" s="58"/>
      <c r="H14" s="61">
        <f>IF('LS-Fund 0214 Journal Entries'!$F$8="Proprietary - Internal Service Fund",SUM('LS-Fund 0214 Journal Entries'!$K$48,'LS-Fund 0214 Journal Entries'!K113),0)</f>
        <v>0</v>
      </c>
      <c r="I14" s="58"/>
      <c r="J14" s="61">
        <f>IF('LS-Fund 0214 Journal Entries'!$F$8="Proprietary - Internal Service Fund",SUM('LS-Fund 0214 Journal Entries'!$J$68,'LS-Fund 0214 Journal Entries'!J96),0)</f>
        <v>0</v>
      </c>
      <c r="K14" s="58"/>
      <c r="L14" s="63">
        <f>SUM(F14+H14-J14)</f>
        <v>0</v>
      </c>
      <c r="M14" s="58"/>
      <c r="N14" s="61">
        <f>IF('LS-Fund 0214 Journal Entries'!$F$8="Proprietary - Internal Service Fund",'LS-Fund 0214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0214 Journal Entries'!$F$8="Proprietary - Enterprise Fund",'LS-Fund 0214 Journal Entries'!$K$23,0)</f>
        <v>0</v>
      </c>
      <c r="G18" s="58"/>
      <c r="H18" s="61">
        <f>IF('LS-Fund 0214 Journal Entries'!$F$8="Proprietary - Enterprise Fund",SUM('LS-Fund 0214 Journal Entries'!$K$48,'LS-Fund 0214 Journal Entries'!K113),0)</f>
        <v>0</v>
      </c>
      <c r="I18" s="58"/>
      <c r="J18" s="61">
        <f>IF('LS-Fund 0214 Journal Entries'!$F$8="Proprietary - Enterprise Fund",SUM('LS-Fund 0214 Journal Entries'!$J$68,'LS-Fund 0214 Journal Entries'!J96),0)</f>
        <v>0</v>
      </c>
      <c r="K18" s="58"/>
      <c r="L18" s="63">
        <f>SUM(F18+H18-J18)</f>
        <v>0</v>
      </c>
      <c r="M18" s="58"/>
      <c r="N18" s="61">
        <f>IF('LS-Fund 0214 Journal Entries'!$F$8="Proprietary - Enterprise Fund",'LS-Fund 0214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N42" sqref="N42"/>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5" t="s">
        <v>153</v>
      </c>
      <c r="B5" s="215"/>
      <c r="C5" s="215"/>
      <c r="D5" s="215"/>
      <c r="E5" s="215"/>
      <c r="F5" s="215"/>
      <c r="G5" s="215"/>
      <c r="H5" s="215"/>
      <c r="I5" s="215"/>
      <c r="J5" s="215"/>
      <c r="K5" s="215"/>
      <c r="L5" s="215"/>
      <c r="M5" s="215"/>
      <c r="N5" s="215"/>
      <c r="O5" s="215"/>
      <c r="P5" s="215"/>
      <c r="Q5" s="215"/>
    </row>
    <row r="6" spans="1:17" ht="15" customHeight="1" x14ac:dyDescent="0.25">
      <c r="A6" s="215"/>
      <c r="B6" s="215"/>
      <c r="C6" s="215"/>
      <c r="D6" s="215"/>
      <c r="E6" s="215"/>
      <c r="F6" s="215"/>
      <c r="G6" s="215"/>
      <c r="H6" s="215"/>
      <c r="I6" s="215"/>
      <c r="J6" s="215"/>
      <c r="K6" s="215"/>
      <c r="L6" s="215"/>
      <c r="M6" s="215"/>
      <c r="N6" s="215"/>
      <c r="O6" s="215"/>
      <c r="P6" s="215"/>
      <c r="Q6" s="215"/>
    </row>
    <row r="7" spans="1:17" x14ac:dyDescent="0.25">
      <c r="A7" s="215"/>
      <c r="B7" s="215"/>
      <c r="C7" s="215"/>
      <c r="D7" s="215"/>
      <c r="E7" s="215"/>
      <c r="F7" s="215"/>
      <c r="G7" s="215"/>
      <c r="H7" s="215"/>
      <c r="I7" s="215"/>
      <c r="J7" s="215"/>
      <c r="K7" s="215"/>
      <c r="L7" s="215"/>
      <c r="M7" s="215"/>
      <c r="N7" s="215"/>
      <c r="O7" s="215"/>
      <c r="P7" s="215"/>
      <c r="Q7" s="215"/>
    </row>
    <row r="8" spans="1:17" ht="15" customHeight="1" x14ac:dyDescent="0.25">
      <c r="A8" s="216" t="s">
        <v>1628</v>
      </c>
      <c r="B8" s="216"/>
      <c r="C8" s="216"/>
      <c r="D8" s="216"/>
      <c r="E8" s="216"/>
      <c r="F8" s="216"/>
      <c r="G8" s="216"/>
      <c r="H8" s="216"/>
      <c r="I8" s="216"/>
      <c r="J8" s="216"/>
      <c r="K8" s="216"/>
      <c r="L8" s="216"/>
      <c r="M8" s="216"/>
      <c r="N8" s="216"/>
      <c r="O8" s="216"/>
      <c r="P8" s="216"/>
      <c r="Q8" s="216"/>
    </row>
    <row r="9" spans="1:17" x14ac:dyDescent="0.25">
      <c r="A9" s="216"/>
      <c r="B9" s="216"/>
      <c r="C9" s="216"/>
      <c r="D9" s="216"/>
      <c r="E9" s="216"/>
      <c r="F9" s="216"/>
      <c r="G9" s="216"/>
      <c r="H9" s="216"/>
      <c r="I9" s="216"/>
      <c r="J9" s="216"/>
      <c r="K9" s="216"/>
      <c r="L9" s="216"/>
      <c r="M9" s="216"/>
      <c r="N9" s="216"/>
      <c r="O9" s="216"/>
      <c r="P9" s="216"/>
      <c r="Q9" s="216"/>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7" t="s">
        <v>142</v>
      </c>
      <c r="C13" s="217"/>
      <c r="D13" s="217"/>
      <c r="E13" s="217"/>
      <c r="F13" s="217"/>
      <c r="G13" s="217"/>
      <c r="H13" s="217"/>
      <c r="I13" s="217"/>
      <c r="J13" s="217"/>
      <c r="K13" s="217"/>
      <c r="L13" s="217"/>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0214 Journal Entries'!$F$8="Governmental Fund",'LS-Fund 0214 Journal Entries'!$K$23,0)</f>
        <v>12153289</v>
      </c>
      <c r="C16" s="116" t="s">
        <v>145</v>
      </c>
      <c r="D16" s="84">
        <f>IF('LS-Fund 0214 Journal Entries'!$F$8="Governmental Fund",'LS-Fund 0214 Journal Entries'!$K$48,0)</f>
        <v>0</v>
      </c>
      <c r="E16" s="118" t="s">
        <v>146</v>
      </c>
      <c r="F16" s="84">
        <f>IF('LS-Fund 0214 Journal Entries'!$F$8="Governmental Fund",'LS-Fund 0214 Journal Entries'!$J$68,0)</f>
        <v>1072588</v>
      </c>
      <c r="G16" s="117" t="s">
        <v>146</v>
      </c>
      <c r="H16" s="84">
        <f>IF('LS-Fund 0214 Journal Entries'!$F$8="Governmental Fund",'LS-Fund 0214 Journal Entries'!$J$96,0)</f>
        <v>0</v>
      </c>
      <c r="I16" s="117" t="s">
        <v>145</v>
      </c>
      <c r="J16" s="84">
        <f>IF('LS-Fund 0214 Journal Entries'!$F$8="Governmental Fund",'LS-Fund 0214 Journal Entries'!$K$113,0)</f>
        <v>0</v>
      </c>
      <c r="K16" s="118" t="s">
        <v>149</v>
      </c>
      <c r="L16" s="87">
        <f>+B16+D16-F16-H16+J16</f>
        <v>11080701</v>
      </c>
      <c r="M16" s="86"/>
      <c r="N16" s="88">
        <f>SUM('LS-Department Note Disclosure'!B13:B36)</f>
        <v>11080700.669779897</v>
      </c>
      <c r="O16" s="85"/>
      <c r="P16" s="89">
        <f>L16-N16</f>
        <v>0.33022010326385498</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7" t="s">
        <v>142</v>
      </c>
      <c r="C21" s="217"/>
      <c r="D21" s="217"/>
      <c r="E21" s="217"/>
      <c r="F21" s="217"/>
      <c r="G21" s="217"/>
      <c r="H21" s="217"/>
      <c r="I21" s="217"/>
      <c r="J21" s="217"/>
      <c r="K21" s="217"/>
      <c r="L21" s="217"/>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0214 Journal Entries'!$F$8="Proprietary - Internal Service Fund",'LS-Fund 0214 Journal Entries'!$K$23,0)</f>
        <v>0</v>
      </c>
      <c r="C24" s="116" t="s">
        <v>145</v>
      </c>
      <c r="D24" s="84">
        <f>IF('LS-Fund 0214 Journal Entries'!$F$8="Proprietary - Internal Service Fund",'LS-Fund 0214 Journal Entries'!$K$48,0)</f>
        <v>0</v>
      </c>
      <c r="E24" s="118" t="s">
        <v>146</v>
      </c>
      <c r="F24" s="84">
        <f>IF('LS-Fund 0214 Journal Entries'!$F$8="Proprietary - Internal Service Fund",'LS-Fund 0214 Journal Entries'!$J$68,0)</f>
        <v>0</v>
      </c>
      <c r="G24" s="117" t="s">
        <v>146</v>
      </c>
      <c r="H24" s="84">
        <f>IF('LS-Fund 0214 Journal Entries'!$F$8="Proprietary - Internal Service Fund",'LS-Fund 0214 Journal Entries'!$J$96,0)</f>
        <v>0</v>
      </c>
      <c r="I24" s="117" t="s">
        <v>145</v>
      </c>
      <c r="J24" s="84">
        <f>IF('LS-Fund 0214 Journal Entries'!$F$8="Proprietary - Internal Service Fund",'LS-Fund 0214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7" t="s">
        <v>142</v>
      </c>
      <c r="C30" s="217"/>
      <c r="D30" s="217"/>
      <c r="E30" s="217"/>
      <c r="F30" s="217"/>
      <c r="G30" s="217"/>
      <c r="H30" s="217"/>
      <c r="I30" s="217"/>
      <c r="J30" s="217"/>
      <c r="K30" s="217"/>
      <c r="L30" s="217"/>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0214 Journal Entries'!$F$8="Proprietary - Enterprise Fund",'LS-Fund 0214 Journal Entries'!$K$23,0)</f>
        <v>0</v>
      </c>
      <c r="C33" s="116" t="s">
        <v>145</v>
      </c>
      <c r="D33" s="84">
        <f>IF('LS-Fund 0214 Journal Entries'!$F$8="Proprietary - Enterprise Fund",'LS-Fund 0214 Journal Entries'!$K$48,0)</f>
        <v>0</v>
      </c>
      <c r="E33" s="118" t="s">
        <v>146</v>
      </c>
      <c r="F33" s="84">
        <f>IF('LS-Fund 0214 Journal Entries'!$F$8="Proprietary - Enterprise Fund",'LS-Fund 0214 Journal Entries'!$J$68,0)</f>
        <v>0</v>
      </c>
      <c r="G33" s="117" t="s">
        <v>146</v>
      </c>
      <c r="H33" s="84">
        <f>IF('LS-Fund 0214 Journal Entries'!$F$8="Proprietary - Enterprise Fund",'LS-Fund 0214 Journal Entries'!$J$96,0)</f>
        <v>0</v>
      </c>
      <c r="I33" s="117" t="s">
        <v>145</v>
      </c>
      <c r="J33" s="84">
        <f>IF('LS-Fund 0214 Journal Entries'!$F$8="Proprietary - Enterprise Fund",'LS-Fund 0214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7" t="s">
        <v>142</v>
      </c>
      <c r="C40" s="217"/>
      <c r="D40" s="217"/>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0214 Journal Entries'!$F$8="Governmental Fund",'LS-Fund 0214 Journal Entries'!$K$76,0)</f>
        <v>1430872.1574857524</v>
      </c>
      <c r="C42" s="92"/>
      <c r="E42" s="92"/>
      <c r="G42" s="115"/>
      <c r="H42" s="115"/>
      <c r="I42" s="115"/>
      <c r="J42" s="115"/>
      <c r="K42" s="92"/>
      <c r="L42" s="92"/>
      <c r="M42" s="93"/>
      <c r="N42" s="88">
        <f>'LS-Department Note Disclosure'!B13</f>
        <v>1430872.1574857524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7" t="s">
        <v>142</v>
      </c>
      <c r="C47" s="217"/>
      <c r="D47" s="217"/>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0214 Journal Entries'!$F$8="Proprietary - Internal Service Fund",'LS-Fund 0214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7" t="s">
        <v>142</v>
      </c>
      <c r="C55" s="217"/>
      <c r="D55" s="217"/>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0214 Journal Entries'!$F$8="Proprietary - Enterprise Fund",'LS-Fund 0214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8" t="s">
        <v>142</v>
      </c>
      <c r="C64" s="218"/>
      <c r="D64" s="218"/>
      <c r="E64" s="218"/>
      <c r="F64" s="218"/>
      <c r="G64" s="218"/>
      <c r="H64" s="218"/>
      <c r="I64" s="95"/>
      <c r="J64" s="77" t="s">
        <v>1627</v>
      </c>
      <c r="K64" s="95"/>
      <c r="L64" s="218" t="s">
        <v>11</v>
      </c>
      <c r="M64" s="218"/>
      <c r="N64" s="218"/>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12153289</v>
      </c>
      <c r="J66" s="97">
        <f>SUM(D66)</f>
        <v>12153289</v>
      </c>
      <c r="L66" s="98" t="str">
        <f>CONCATENATE("Balance July 1, ",LEFT('LS-Department Note Disclosure'!$B$8,4))</f>
        <v>Balance July 1, 2023</v>
      </c>
      <c r="N66" s="97">
        <f>'LS-Lease Liabilities'!F10</f>
        <v>12153289</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1072588</v>
      </c>
      <c r="E68" s="119" t="s">
        <v>145</v>
      </c>
      <c r="F68" s="79" t="s">
        <v>1678</v>
      </c>
      <c r="H68" s="97">
        <f>$H$16</f>
        <v>0</v>
      </c>
      <c r="J68" s="97">
        <f>SUM(D68,H68)</f>
        <v>1072588</v>
      </c>
      <c r="L68" s="98" t="s">
        <v>13</v>
      </c>
      <c r="N68" s="97">
        <f>'LS-Lease Liabilities'!J10</f>
        <v>1072588.0316013596</v>
      </c>
      <c r="P68" s="89">
        <f t="shared" si="0"/>
        <v>-3.1601359602063894E-2</v>
      </c>
    </row>
    <row r="69" spans="1:17" x14ac:dyDescent="0.25">
      <c r="B69" s="79" t="s">
        <v>155</v>
      </c>
      <c r="D69" s="97">
        <f>$B$42</f>
        <v>1430872.1574857524</v>
      </c>
      <c r="J69" s="97">
        <f>SUM(D69)</f>
        <v>1430872.1574857524</v>
      </c>
      <c r="L69" s="98" t="s">
        <v>14</v>
      </c>
      <c r="N69" s="97">
        <f>'LS-Lease Liabilities'!N10</f>
        <v>1430872.1574857524</v>
      </c>
      <c r="P69" s="89">
        <f t="shared" si="0"/>
        <v>0</v>
      </c>
    </row>
    <row r="70" spans="1:17" x14ac:dyDescent="0.25">
      <c r="D70" s="99"/>
    </row>
    <row r="71" spans="1:17" ht="15.95" customHeight="1" x14ac:dyDescent="0.25">
      <c r="D71" s="91" t="str">
        <f>IF(OR(P66&gt;0, (P66&lt;0),P67&gt;0,P67&lt;0,P68&gt;0,P68&lt;0,P69&gt;0,P69&lt;0), "Please review and correct the variance.","")</f>
        <v>Please review and correct the variance.</v>
      </c>
    </row>
    <row r="72" spans="1:17" ht="6" customHeight="1" x14ac:dyDescent="0.25">
      <c r="D72" s="99"/>
    </row>
    <row r="73" spans="1:17" x14ac:dyDescent="0.25">
      <c r="B73" s="100" t="s">
        <v>160</v>
      </c>
      <c r="C73" s="100"/>
    </row>
    <row r="74" spans="1:17" x14ac:dyDescent="0.25">
      <c r="B74" s="100"/>
    </row>
    <row r="75" spans="1:17" ht="15" customHeight="1" x14ac:dyDescent="0.25">
      <c r="B75" s="218" t="s">
        <v>142</v>
      </c>
      <c r="C75" s="218"/>
      <c r="D75" s="218"/>
      <c r="E75" s="218"/>
      <c r="F75" s="218"/>
      <c r="G75" s="218"/>
      <c r="H75" s="218"/>
      <c r="I75" s="95"/>
      <c r="J75" s="77" t="s">
        <v>1627</v>
      </c>
      <c r="K75" s="95"/>
      <c r="L75" s="218" t="s">
        <v>11</v>
      </c>
      <c r="M75" s="218"/>
      <c r="N75" s="218"/>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8" t="s">
        <v>142</v>
      </c>
      <c r="C86" s="218"/>
      <c r="D86" s="218"/>
      <c r="E86" s="218"/>
      <c r="F86" s="218"/>
      <c r="G86" s="218"/>
      <c r="H86" s="218"/>
      <c r="I86" s="95"/>
      <c r="J86" s="77" t="s">
        <v>1627</v>
      </c>
      <c r="K86" s="95"/>
      <c r="L86" s="218" t="s">
        <v>11</v>
      </c>
      <c r="M86" s="218"/>
      <c r="N86" s="218"/>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0214 Journal Entries</vt:lpstr>
      <vt:lpstr>LS-Department Note Disclosure</vt:lpstr>
      <vt:lpstr>LS-Lease Liabilities</vt:lpstr>
      <vt:lpstr>LS-Check Figures  </vt:lpstr>
      <vt:lpstr>'LS-Department Note Disclosure'!Print_Area</vt:lpstr>
      <vt:lpstr>'LS-Fund 0214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2025-03-13T21:20:57Z</dcterms:modified>
</cp:coreProperties>
</file>