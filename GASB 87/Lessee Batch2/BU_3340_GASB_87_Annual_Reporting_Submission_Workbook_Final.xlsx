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U:\Headquarters\ACCOUNT\ACTG_BIZ\Year End\FY 2023-24\GAAP\GASB 87\"/>
    </mc:Choice>
  </mc:AlternateContent>
  <xr:revisionPtr revIDLastSave="0" documentId="13_ncr:1_{8DFB12E9-6478-4075-8C13-705E5840062F}" xr6:coauthVersionLast="47" xr6:coauthVersionMax="47" xr10:uidLastSave="{00000000-0000-0000-0000-000000000000}"/>
  <bookViews>
    <workbookView xWindow="-28920" yWindow="-120" windowWidth="29040" windowHeight="15840" tabRatio="921" firstSheet="2" activeTab="5"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318 Journal Entries" sheetId="16" r:id="rId5"/>
    <sheet name="LS-Fund 3228 Journal Entries" sheetId="17" r:id="rId6"/>
    <sheet name="LS-Department Note Disclosure" sheetId="3" r:id="rId7"/>
    <sheet name="LS-Lease Liabilities" sheetId="4" r:id="rId8"/>
    <sheet name="LS-Check Figures  " sheetId="7"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6">'LS-Department Note Disclosure'!$A$1:$F$96</definedName>
    <definedName name="_xlnm.Print_Area" localSheetId="3">'LS-Fund 0001 Journal Entries'!$A$1:$R$130</definedName>
    <definedName name="_xlnm.Print_Area" localSheetId="4">'LS-Fund 0318 Journal Entries'!$A$1:$R$130</definedName>
    <definedName name="_xlnm.Print_Area" localSheetId="5">'LS-Fund 3228 Journal Entries'!$A$1:$R$130</definedName>
    <definedName name="_xlnm.Print_Area" localSheetId="7">'LS-Lease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7" l="1"/>
  <c r="F16" i="7"/>
  <c r="J10" i="4"/>
  <c r="H10" i="4"/>
  <c r="N10" i="4"/>
  <c r="B42" i="7"/>
  <c r="B16" i="7"/>
  <c r="K129" i="17" l="1"/>
  <c r="K114" i="17"/>
  <c r="J114" i="17"/>
  <c r="L114" i="17" s="1"/>
  <c r="K105" i="17"/>
  <c r="J105" i="17"/>
  <c r="K91" i="17"/>
  <c r="J91" i="17"/>
  <c r="L91" i="17" s="1"/>
  <c r="K77" i="17"/>
  <c r="J77" i="17"/>
  <c r="K70" i="17"/>
  <c r="J70" i="17"/>
  <c r="L69" i="17"/>
  <c r="K65" i="17"/>
  <c r="J65" i="17"/>
  <c r="B63" i="17"/>
  <c r="L62" i="17"/>
  <c r="K59" i="17"/>
  <c r="J59" i="17"/>
  <c r="K49" i="17"/>
  <c r="J49" i="17"/>
  <c r="L49" i="17" s="1"/>
  <c r="K43" i="17"/>
  <c r="L43" i="17" s="1"/>
  <c r="J43" i="17"/>
  <c r="L36" i="17"/>
  <c r="K36" i="17"/>
  <c r="J36" i="17"/>
  <c r="S25" i="17"/>
  <c r="Q24" i="17"/>
  <c r="S24" i="17" s="1"/>
  <c r="S23" i="17"/>
  <c r="K23" i="17"/>
  <c r="K128" i="17" s="1"/>
  <c r="S22" i="17"/>
  <c r="K22" i="17"/>
  <c r="K127" i="17" s="1"/>
  <c r="S21" i="17"/>
  <c r="K21" i="17"/>
  <c r="K126" i="17" s="1"/>
  <c r="S20" i="17"/>
  <c r="K20" i="17"/>
  <c r="K125" i="17" s="1"/>
  <c r="S19" i="17"/>
  <c r="P18" i="17"/>
  <c r="S18" i="17" s="1"/>
  <c r="S17" i="17"/>
  <c r="J17" i="17"/>
  <c r="K124" i="17" s="1"/>
  <c r="S16" i="17"/>
  <c r="J16" i="17"/>
  <c r="K123" i="17" s="1"/>
  <c r="S15" i="17"/>
  <c r="J15" i="17"/>
  <c r="F9" i="17"/>
  <c r="C64" i="17" s="1"/>
  <c r="K129" i="16"/>
  <c r="K124" i="16"/>
  <c r="K123" i="16"/>
  <c r="K114" i="16"/>
  <c r="J114" i="16"/>
  <c r="K105" i="16"/>
  <c r="J105" i="16"/>
  <c r="L91" i="16"/>
  <c r="K91" i="16"/>
  <c r="J91" i="16"/>
  <c r="K77" i="16"/>
  <c r="J77" i="16"/>
  <c r="K70" i="16"/>
  <c r="J70" i="16"/>
  <c r="L69" i="16"/>
  <c r="K65" i="16"/>
  <c r="J65" i="16"/>
  <c r="B63" i="16"/>
  <c r="L62" i="16"/>
  <c r="K59" i="16"/>
  <c r="J59" i="16"/>
  <c r="K49" i="16"/>
  <c r="J49" i="16"/>
  <c r="L49" i="16" s="1"/>
  <c r="K43" i="16"/>
  <c r="J43" i="16"/>
  <c r="K36" i="16"/>
  <c r="L36" i="16" s="1"/>
  <c r="J36" i="16"/>
  <c r="S25" i="16"/>
  <c r="Q24" i="16"/>
  <c r="S24" i="16" s="1"/>
  <c r="S23" i="16"/>
  <c r="K23" i="16"/>
  <c r="S22" i="16"/>
  <c r="K22" i="16"/>
  <c r="K127" i="16" s="1"/>
  <c r="S21" i="16"/>
  <c r="K21" i="16"/>
  <c r="S20" i="16"/>
  <c r="K20" i="16"/>
  <c r="K125" i="16" s="1"/>
  <c r="S19" i="16"/>
  <c r="P18" i="16"/>
  <c r="J18" i="16" s="1"/>
  <c r="S17" i="16"/>
  <c r="J17" i="16"/>
  <c r="S16" i="16"/>
  <c r="J16" i="16"/>
  <c r="S15" i="16"/>
  <c r="J15" i="16"/>
  <c r="K122" i="16" s="1"/>
  <c r="F9" i="16"/>
  <c r="C35" i="16" s="1"/>
  <c r="L77" i="17" l="1"/>
  <c r="K128" i="16"/>
  <c r="F10" i="4"/>
  <c r="L105" i="17"/>
  <c r="L105" i="16"/>
  <c r="L70" i="17"/>
  <c r="L65" i="17"/>
  <c r="L59" i="17"/>
  <c r="L77" i="16"/>
  <c r="L70" i="16"/>
  <c r="L65" i="16"/>
  <c r="L59" i="16"/>
  <c r="L43" i="16"/>
  <c r="L114" i="16"/>
  <c r="J18" i="17"/>
  <c r="K24" i="16"/>
  <c r="J19" i="16" s="1"/>
  <c r="J26" i="16" s="1"/>
  <c r="K24" i="17"/>
  <c r="J19" i="17" s="1"/>
  <c r="J26" i="17" s="1"/>
  <c r="C35" i="17"/>
  <c r="B100" i="17"/>
  <c r="C104" i="17"/>
  <c r="K122" i="17"/>
  <c r="B100" i="16"/>
  <c r="C104" i="16"/>
  <c r="C64" i="16"/>
  <c r="K126" i="16"/>
  <c r="S18" i="16"/>
  <c r="K25" i="16" l="1"/>
  <c r="K26" i="16" s="1"/>
  <c r="L26" i="16" s="1"/>
  <c r="K25" i="17"/>
  <c r="K26" i="17" s="1"/>
  <c r="L26" i="17" s="1"/>
  <c r="B63" i="2" l="1"/>
  <c r="J18" i="4"/>
  <c r="J14" i="4"/>
  <c r="H18" i="4"/>
  <c r="H14" i="4"/>
  <c r="N18" i="4"/>
  <c r="N14" i="4"/>
  <c r="F18" i="4"/>
  <c r="F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H67" i="7"/>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<sst xmlns="http://schemas.openxmlformats.org/spreadsheetml/2006/main" count="7985" uniqueCount="1716">
  <si>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</si>
  <si>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</si>
  <si>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</si>
  <si>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</si>
  <si>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</si>
  <si>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</si>
  <si>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</si>
  <si>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</si>
  <si>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</si>
  <si>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</si>
  <si>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</si>
  <si>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</si>
  <si>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</si>
  <si>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</si>
  <si>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</si>
  <si>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</si>
  <si>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</si>
  <si>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</si>
  <si>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</si>
  <si>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</si>
  <si>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</si>
  <si>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</si>
  <si>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</si>
  <si>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</si>
  <si>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</si>
  <si>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</si>
  <si>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</si>
  <si>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</si>
  <si>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</si>
  <si>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</si>
  <si>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</si>
  <si>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</si>
  <si>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</si>
  <si>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</si>
  <si>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</si>
  <si>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</si>
  <si>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</si>
  <si>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</si>
  <si>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</si>
  <si>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</si>
  <si>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</si>
  <si>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</si>
  <si>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</si>
  <si>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</si>
  <si>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</si>
  <si>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</si>
  <si>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</si>
  <si>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</si>
  <si>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</si>
  <si>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</si>
  <si>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</si>
  <si>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</si>
  <si>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</si>
  <si>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</si>
  <si>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</si>
  <si>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</si>
  <si>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</si>
  <si>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</si>
  <si>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</si>
  <si>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</si>
  <si>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</si>
  <si>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</si>
  <si>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</si>
  <si>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</si>
  <si>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</si>
  <si>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</si>
  <si>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</si>
  <si>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</si>
  <si>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</si>
  <si>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</si>
  <si>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</si>
  <si>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</si>
  <si>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</si>
  <si>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</si>
  <si>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</si>
  <si>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</si>
  <si>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</si>
  <si>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</si>
  <si>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</si>
  <si>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</si>
  <si>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</si>
  <si>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</si>
  <si>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</si>
  <si>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</si>
  <si>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</si>
  <si>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</si>
  <si>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</si>
  <si>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</si>
  <si>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</si>
  <si>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</si>
  <si>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</si>
  <si>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</si>
  <si>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</si>
  <si>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</si>
  <si>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</si>
  <si>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</si>
  <si>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</si>
  <si>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</si>
  <si>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</si>
  <si>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</si>
  <si>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</si>
  <si>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</si>
  <si>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</si>
  <si>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</si>
  <si>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</si>
  <si>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</si>
  <si>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</si>
  <si>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</si>
  <si>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</si>
  <si>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</si>
  <si>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</si>
  <si>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</si>
  <si>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</si>
  <si>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</si>
  <si>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</si>
  <si>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</si>
  <si>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</si>
  <si>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</si>
  <si>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</si>
  <si>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</si>
  <si>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</si>
  <si>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</si>
  <si>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</si>
  <si>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</si>
  <si>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</si>
  <si>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</si>
  <si>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</si>
  <si>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</si>
  <si>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</si>
  <si>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</si>
  <si>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</si>
  <si>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</si>
  <si>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</si>
  <si>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</si>
  <si>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</si>
  <si>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</si>
  <si>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</si>
  <si>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</si>
  <si>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</si>
  <si>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</si>
  <si>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</si>
  <si>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</si>
  <si>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</si>
  <si>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</si>
  <si>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</si>
  <si>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</si>
  <si>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</si>
  <si>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</si>
  <si>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</si>
  <si>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</si>
  <si>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</si>
  <si>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</si>
  <si>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</si>
  <si>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</si>
  <si>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</si>
  <si>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</si>
  <si>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</si>
  <si>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</si>
  <si>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</si>
  <si>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</si>
  <si>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</si>
  <si>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</si>
  <si>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</si>
  <si>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</si>
  <si>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</si>
  <si>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</si>
  <si>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</si>
  <si>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</si>
  <si>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</si>
  <si>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</si>
  <si>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</si>
  <si>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</si>
  <si>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</si>
  <si>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</si>
  <si>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</si>
  <si>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</si>
  <si>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</si>
  <si>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</si>
  <si>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</si>
  <si>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</si>
  <si>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</si>
  <si>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</si>
  <si>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</si>
  <si>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</si>
  <si>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</si>
  <si>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</si>
  <si>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</si>
  <si>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</si>
  <si>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</si>
  <si>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</si>
  <si>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</si>
  <si>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</si>
  <si>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</si>
  <si>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</si>
  <si>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</si>
  <si>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</si>
  <si>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</si>
  <si>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</si>
  <si>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</si>
  <si>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</si>
  <si>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</si>
  <si>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</si>
  <si>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</si>
  <si>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</si>
  <si>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</si>
  <si>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</si>
  <si>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</si>
  <si>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</si>
  <si>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</si>
  <si>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</si>
  <si>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</si>
  <si>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</si>
  <si>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</si>
  <si>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</si>
  <si>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</si>
  <si>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</si>
  <si>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</si>
  <si>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</si>
  <si>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</si>
  <si>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</si>
  <si>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</si>
  <si>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</si>
  <si>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</si>
  <si>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</si>
  <si>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</si>
  <si>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</si>
  <si>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</si>
  <si>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</si>
  <si>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</si>
  <si>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</si>
  <si>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</si>
  <si>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</si>
  <si>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</si>
  <si>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</si>
  <si>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</si>
  <si>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</si>
  <si>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</si>
  <si>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</si>
  <si>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</si>
  <si>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</si>
  <si>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</si>
  <si>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</si>
  <si>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</si>
  <si>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</si>
  <si>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</si>
  <si>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</si>
  <si>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</si>
  <si>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</si>
  <si>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</si>
  <si>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</si>
  <si>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</si>
  <si>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</si>
  <si>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</si>
  <si>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</si>
  <si>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</si>
  <si>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</si>
  <si>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</si>
  <si>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</si>
  <si>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</si>
  <si>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</si>
  <si>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</si>
  <si>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</si>
  <si>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</si>
  <si>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</si>
  <si>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</si>
  <si>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</si>
  <si>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</si>
  <si>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</si>
  <si>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</si>
  <si>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</si>
  <si>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</si>
  <si>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</si>
  <si>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</si>
  <si>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</si>
  <si>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</si>
  <si>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</si>
  <si>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</si>
  <si>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</si>
  <si>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</si>
  <si>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</si>
  <si>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</si>
  <si>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</si>
  <si>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</si>
  <si>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</si>
  <si>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</si>
  <si>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</si>
  <si>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</si>
  <si>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</si>
  <si>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</si>
  <si>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</si>
  <si>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</si>
  <si>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</si>
  <si>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</si>
  <si>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</si>
  <si>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</si>
  <si>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</si>
  <si>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</si>
  <si>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</si>
  <si>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</si>
  <si>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</si>
  <si>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</si>
  <si>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</si>
  <si>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</si>
  <si>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</si>
  <si>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</si>
  <si>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</si>
  <si>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</si>
  <si>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</si>
  <si>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</si>
  <si>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</si>
  <si>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</si>
  <si>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</si>
  <si>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</si>
  <si>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</si>
  <si>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</si>
  <si>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</si>
  <si>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</si>
  <si>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</si>
  <si>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</si>
  <si>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</si>
  <si>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</si>
  <si>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</si>
  <si>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</si>
  <si>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</si>
  <si>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</si>
  <si>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</si>
  <si>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</si>
  <si>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</si>
  <si>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</si>
  <si>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</si>
  <si>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</si>
  <si>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</si>
  <si>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</si>
  <si>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</si>
  <si>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</si>
  <si>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</si>
  <si>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</si>
  <si>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</si>
  <si>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</si>
  <si>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</si>
  <si>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</si>
  <si>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</si>
  <si>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</si>
  <si>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</si>
  <si>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</si>
  <si>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</si>
  <si>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</si>
  <si>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</si>
  <si>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</si>
  <si>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</si>
  <si>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</si>
  <si>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</si>
  <si>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</si>
  <si>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</si>
  <si>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</si>
  <si>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</si>
  <si>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</si>
  <si>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</si>
  <si>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</si>
  <si>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</si>
  <si>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</si>
  <si>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</si>
  <si>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</si>
  <si>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</si>
  <si>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</si>
  <si>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</si>
  <si>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</si>
  <si>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</si>
  <si>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</si>
  <si>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</si>
  <si>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</si>
  <si>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</si>
  <si>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</si>
  <si>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</si>
  <si>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</si>
  <si>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</si>
  <si>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</si>
  <si>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</si>
  <si>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</si>
  <si>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</si>
  <si>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</si>
  <si>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</si>
  <si>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</si>
  <si>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</si>
  <si>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</si>
  <si>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</si>
  <si>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</si>
  <si>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</si>
  <si>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</si>
  <si>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</si>
  <si>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</si>
  <si>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</si>
  <si>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</si>
  <si>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</si>
  <si>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</si>
  <si>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</si>
  <si>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</si>
  <si>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</si>
  <si>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</si>
  <si>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</si>
  <si>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</si>
  <si>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</si>
  <si>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</si>
  <si>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</si>
  <si>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</si>
  <si>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</si>
  <si>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</si>
  <si>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</si>
  <si>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</si>
  <si>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</si>
  <si>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</si>
  <si>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</si>
  <si>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</si>
  <si>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</si>
  <si>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</si>
  <si>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</si>
  <si>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</si>
  <si>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</si>
  <si>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</si>
  <si>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</si>
  <si>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</si>
  <si>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</si>
  <si>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</si>
  <si>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</si>
  <si>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</si>
  <si>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</si>
  <si>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</si>
  <si>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</si>
  <si>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</si>
  <si>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</si>
  <si>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</si>
  <si>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</si>
  <si>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</si>
  <si>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</si>
  <si>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</si>
  <si>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</si>
  <si>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</si>
  <si>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</si>
  <si>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</si>
  <si>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</si>
  <si>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</si>
  <si>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</si>
  <si>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</si>
  <si>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</si>
  <si>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</si>
  <si>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</si>
  <si>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</si>
  <si>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</si>
  <si>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</si>
  <si>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</si>
  <si>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</si>
  <si>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</si>
  <si>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</si>
  <si>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</si>
  <si>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</si>
  <si>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</si>
  <si>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</si>
  <si>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</si>
  <si>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</si>
  <si>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</si>
  <si>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</si>
  <si>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</si>
  <si>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</si>
  <si>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</si>
  <si>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</si>
  <si>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</si>
  <si>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</si>
  <si>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</si>
  <si>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</si>
  <si>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</si>
  <si>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</si>
  <si>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</si>
  <si>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</si>
  <si>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</si>
  <si>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</si>
  <si>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</si>
  <si>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</si>
  <si>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</si>
  <si>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</si>
  <si>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</si>
  <si>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</si>
  <si>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</si>
  <si>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</si>
  <si>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</si>
  <si>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</si>
  <si>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</si>
  <si>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</si>
  <si>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</si>
  <si>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</si>
  <si>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</si>
  <si>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</si>
  <si>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</si>
  <si>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</si>
  <si>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</si>
  <si>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</si>
  <si>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</si>
  <si>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</si>
  <si>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</si>
  <si>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</si>
  <si>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</si>
  <si>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</si>
  <si>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</si>
  <si>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</si>
  <si>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</si>
  <si>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</si>
  <si>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</si>
  <si>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</si>
  <si>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</si>
  <si>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</si>
  <si>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</si>
  <si>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</si>
  <si>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</si>
  <si>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</si>
  <si>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</si>
  <si>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</si>
  <si>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</si>
  <si>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</si>
  <si>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</si>
  <si>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</si>
  <si>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</si>
  <si>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</si>
  <si>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</si>
  <si>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</si>
  <si>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</si>
  <si>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</si>
  <si>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</si>
  <si>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</si>
  <si>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</si>
  <si>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</si>
  <si>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</si>
  <si>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</si>
  <si>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</si>
  <si>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</si>
  <si>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</si>
  <si>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</si>
  <si>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</si>
  <si>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</si>
  <si>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</si>
  <si>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</si>
  <si>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</si>
  <si>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</si>
  <si>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</si>
  <si>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</si>
  <si>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</si>
  <si>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</si>
  <si>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</si>
  <si>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</si>
  <si>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</si>
  <si>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</si>
  <si>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</si>
  <si>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</si>
  <si>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</si>
  <si>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</si>
  <si>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</si>
  <si>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</si>
  <si>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</si>
  <si>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</si>
  <si>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</si>
  <si>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</si>
  <si>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</si>
  <si>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</si>
  <si>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</si>
  <si>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</si>
  <si>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</si>
  <si>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</si>
  <si>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</si>
  <si>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</si>
  <si>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</si>
  <si>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</si>
  <si>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</si>
  <si>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</si>
  <si>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</si>
  <si>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</si>
  <si>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</si>
  <si>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</si>
  <si>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</si>
  <si>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</si>
  <si>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</si>
  <si>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</si>
  <si>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</si>
  <si>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</si>
  <si>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</si>
  <si>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</si>
  <si>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</si>
  <si>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</si>
  <si>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</si>
  <si>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</si>
  <si>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</si>
  <si>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</si>
  <si>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</si>
  <si>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</si>
  <si>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</si>
  <si>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</si>
  <si>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</si>
  <si>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</si>
  <si>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</si>
  <si>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</si>
  <si>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</si>
  <si>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</si>
  <si>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</si>
  <si>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</si>
  <si>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</si>
  <si>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</si>
  <si>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</si>
  <si>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</si>
  <si>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</si>
  <si>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</si>
  <si>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</si>
  <si>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</si>
  <si>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</si>
  <si>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</si>
  <si>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</si>
  <si>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</si>
  <si>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</si>
  <si>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</si>
  <si>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</si>
  <si>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</si>
  <si>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</si>
  <si>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</si>
  <si>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</si>
  <si>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</si>
  <si>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</si>
  <si>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</si>
  <si>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</si>
  <si>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</si>
  <si>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</si>
  <si>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</si>
  <si>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</si>
  <si>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</si>
  <si>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</si>
  <si>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</si>
  <si>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</si>
  <si>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</si>
  <si>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</si>
  <si>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</si>
  <si>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</si>
  <si>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</si>
  <si>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</si>
  <si>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</si>
  <si>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</si>
  <si>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</si>
  <si>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</si>
  <si>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</si>
  <si>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</si>
  <si>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</si>
  <si>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</si>
  <si>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</si>
  <si>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</si>
  <si>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</si>
  <si>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</si>
  <si>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</si>
  <si>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</si>
  <si>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</si>
  <si>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</si>
  <si>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</si>
  <si>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</si>
  <si>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</si>
  <si>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</si>
  <si>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</si>
  <si>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</si>
  <si>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</si>
  <si>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</si>
  <si>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</si>
  <si>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</si>
  <si>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</si>
  <si>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</si>
  <si>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</si>
  <si>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</si>
  <si>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</si>
  <si>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</si>
  <si>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</si>
  <si>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</si>
  <si>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</si>
  <si>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</si>
  <si>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</si>
  <si>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</si>
  <si>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</si>
  <si>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</si>
  <si>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</si>
  <si>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</si>
  <si>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</si>
  <si>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</si>
  <si>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</si>
  <si>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</si>
  <si>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</si>
  <si>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</si>
  <si>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</si>
  <si>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</si>
  <si>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</si>
  <si>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</si>
  <si>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</si>
  <si>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</si>
  <si>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</si>
  <si>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</si>
  <si>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</si>
  <si>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</si>
  <si>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</si>
  <si>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</si>
  <si>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</si>
  <si>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</si>
  <si>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</si>
  <si>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</si>
  <si>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</si>
  <si>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</si>
  <si>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</si>
  <si>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</si>
  <si>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</si>
  <si>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</si>
  <si>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</si>
  <si>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</si>
  <si>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</si>
  <si>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</si>
  <si>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</si>
  <si>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</si>
  <si>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</si>
  <si>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</si>
  <si>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</si>
  <si>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</si>
  <si>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</si>
  <si>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</si>
  <si>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</si>
  <si>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</si>
  <si>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</si>
  <si>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</si>
  <si>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</si>
  <si>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</si>
  <si>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</si>
  <si>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</si>
  <si>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</si>
  <si>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</si>
  <si>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</si>
  <si>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</si>
  <si>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</si>
  <si>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</si>
  <si>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</si>
  <si>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</si>
  <si>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</si>
  <si>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</si>
  <si>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</si>
  <si>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</si>
  <si>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</si>
  <si>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</si>
  <si>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</si>
  <si>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</si>
  <si>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</si>
  <si>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</si>
  <si>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</si>
  <si>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</si>
  <si>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</si>
  <si>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</si>
  <si>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</si>
  <si>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</si>
  <si>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</si>
  <si>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</si>
  <si>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</si>
  <si>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</si>
  <si>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</si>
  <si>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</si>
  <si>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</si>
  <si>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</si>
  <si>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</si>
  <si>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</si>
  <si>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</si>
  <si>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</si>
  <si>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</si>
  <si>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</si>
  <si>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</si>
  <si>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</si>
  <si>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</si>
  <si>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</si>
  <si>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</si>
  <si>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</si>
  <si>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</si>
  <si>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</si>
  <si>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</si>
  <si>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</si>
  <si>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</si>
  <si>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</si>
  <si>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</si>
  <si>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</si>
  <si>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</si>
  <si>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</si>
  <si>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</si>
  <si>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</si>
  <si>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</si>
  <si>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</si>
  <si>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</si>
  <si>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</si>
  <si>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</si>
  <si>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</si>
  <si>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</si>
  <si>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</si>
  <si>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</si>
  <si>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</si>
  <si>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</si>
  <si>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</si>
  <si>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</si>
  <si>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</si>
  <si>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</si>
  <si>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</si>
  <si>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</si>
  <si>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</si>
  <si>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</si>
  <si>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</si>
  <si>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</si>
  <si>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</si>
  <si>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</si>
  <si>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</si>
  <si>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</si>
  <si>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</si>
  <si>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</si>
  <si>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</si>
  <si>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</si>
  <si>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</si>
  <si>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</si>
  <si>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</si>
  <si>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</si>
  <si>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</si>
  <si>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</si>
  <si>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</si>
  <si>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</si>
  <si>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</si>
  <si>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</si>
  <si>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</si>
  <si>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</si>
  <si>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</si>
  <si>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</si>
  <si>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</si>
  <si>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</si>
  <si>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</si>
  <si>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</si>
  <si>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</si>
  <si>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</si>
  <si>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</si>
  <si>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</si>
  <si>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</si>
  <si>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</si>
  <si>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</si>
  <si>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</si>
  <si>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</si>
  <si>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</si>
  <si>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</si>
  <si>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</si>
  <si>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</si>
  <si>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</si>
  <si>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</si>
  <si>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</si>
  <si>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</si>
  <si>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</si>
  <si>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</si>
  <si>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</si>
  <si>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</si>
  <si>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</si>
  <si>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</si>
  <si>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</si>
  <si>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</si>
  <si>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</si>
  <si>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</si>
  <si>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</si>
  <si>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</si>
  <si>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</si>
  <si>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</si>
  <si>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</si>
  <si>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</si>
  <si>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</si>
  <si>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</si>
  <si>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</si>
  <si>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</si>
  <si>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</si>
  <si>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</si>
  <si>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</si>
  <si>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</si>
  <si>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</si>
  <si>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</si>
  <si>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</si>
  <si>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</si>
  <si>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</si>
  <si>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</si>
  <si>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</si>
  <si>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</si>
  <si>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</si>
  <si>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</si>
  <si>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</si>
  <si>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</si>
  <si>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</si>
  <si>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</si>
  <si>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</si>
  <si>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</si>
  <si>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</si>
  <si>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</si>
  <si>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</si>
  <si>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</si>
  <si>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</si>
  <si>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</si>
  <si>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</si>
  <si>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</si>
  <si>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</si>
  <si>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</si>
  <si>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</si>
  <si>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</si>
  <si>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</si>
  <si>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</si>
  <si>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</si>
  <si>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</si>
  <si>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</si>
  <si>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</si>
  <si>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</si>
  <si>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</si>
  <si>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</si>
  <si>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</si>
  <si>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</si>
  <si>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</si>
  <si>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</si>
  <si>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</si>
  <si>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</si>
  <si>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</si>
  <si>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</si>
  <si>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</si>
  <si>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</si>
  <si>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</si>
  <si>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</si>
  <si>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</si>
  <si>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</si>
  <si>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</si>
  <si>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</si>
  <si>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</si>
  <si>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</si>
  <si>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</si>
  <si>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</si>
  <si>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</si>
  <si>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</si>
  <si>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</si>
  <si>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</si>
  <si>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</si>
  <si>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</si>
  <si>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</si>
  <si>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</si>
  <si>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</si>
  <si>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</si>
  <si>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</si>
  <si>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</si>
  <si>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</si>
  <si>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</si>
  <si>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</si>
  <si>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</si>
  <si>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</si>
  <si>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</si>
  <si>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</si>
  <si>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</si>
  <si>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</si>
  <si>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</si>
  <si>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</si>
  <si>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</si>
  <si>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</si>
  <si>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</si>
  <si>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</si>
  <si>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</si>
  <si>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</si>
  <si>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</si>
  <si>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</si>
  <si>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</si>
  <si>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</si>
  <si>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</si>
  <si>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</si>
  <si>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</si>
  <si>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</si>
  <si>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</si>
  <si>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</si>
  <si>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</si>
  <si>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</si>
  <si>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</si>
  <si>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</si>
  <si>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</si>
  <si>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</si>
  <si>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</si>
  <si>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</si>
  <si>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</si>
  <si>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</si>
  <si>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</si>
  <si>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</si>
  <si>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</si>
  <si>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</si>
  <si>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</si>
  <si>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</si>
  <si>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</si>
  <si>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</si>
  <si>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</si>
  <si>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</si>
  <si>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</si>
  <si>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</si>
  <si>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</si>
  <si>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</si>
  <si>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</si>
  <si>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</si>
  <si>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</si>
  <si>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</si>
  <si>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</si>
  <si>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</si>
  <si>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</si>
  <si>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</si>
  <si>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</si>
  <si>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</si>
  <si>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</si>
  <si>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</si>
  <si>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</si>
  <si>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</si>
  <si>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</si>
  <si>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</si>
  <si>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</si>
  <si>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</si>
  <si>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</si>
  <si>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</si>
  <si>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</si>
  <si>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</si>
  <si>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</si>
  <si>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</si>
  <si>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</si>
  <si>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</si>
  <si>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</si>
  <si>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</si>
  <si>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</si>
  <si>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</si>
  <si>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</si>
  <si>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</si>
  <si>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</si>
  <si>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</si>
  <si>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</si>
  <si>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</si>
  <si>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</si>
  <si>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</si>
  <si>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</si>
  <si>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</si>
  <si>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</si>
  <si>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</si>
  <si>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</si>
  <si>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</si>
  <si>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</si>
  <si>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</si>
  <si>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</si>
  <si>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</si>
  <si>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</si>
  <si>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</si>
  <si>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</si>
  <si>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</si>
  <si>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</si>
  <si>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</si>
  <si>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</si>
  <si>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</si>
  <si>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</si>
  <si>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</si>
  <si>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</si>
  <si>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</si>
  <si>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</si>
  <si>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</si>
  <si>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</si>
  <si>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</si>
  <si>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</si>
  <si>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</si>
  <si>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</si>
  <si>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</si>
  <si>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</si>
  <si>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</si>
  <si>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</si>
  <si>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</si>
  <si>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</si>
  <si>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</si>
  <si>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</si>
  <si>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</si>
  <si>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</si>
  <si>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</si>
  <si>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</si>
  <si>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</si>
  <si>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</si>
  <si>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</si>
  <si>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</si>
  <si>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</si>
  <si>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</si>
  <si>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</si>
  <si>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</si>
  <si>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</si>
  <si>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</si>
  <si>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</si>
  <si>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</si>
  <si>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</si>
  <si>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</si>
  <si>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</si>
  <si>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</si>
  <si>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</si>
  <si>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</si>
  <si>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</si>
  <si>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</si>
  <si>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</si>
  <si>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</si>
  <si>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</si>
  <si>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</si>
  <si>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</si>
  <si>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</si>
  <si>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</si>
  <si>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</si>
  <si>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</si>
  <si>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</si>
  <si>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</si>
  <si>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</si>
  <si>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</si>
  <si>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</si>
  <si>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</si>
  <si>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</si>
  <si>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</si>
  <si>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</si>
  <si>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</si>
  <si>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</si>
  <si>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</si>
  <si>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</si>
  <si>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</si>
  <si>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</si>
  <si>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</si>
  <si>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</si>
  <si>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</si>
  <si>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</si>
  <si>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</si>
  <si>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</si>
  <si>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</si>
  <si>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</si>
  <si>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</si>
  <si>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</si>
  <si>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</si>
  <si>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</si>
  <si>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</si>
  <si>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</si>
  <si>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</si>
  <si>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</si>
  <si>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</si>
  <si>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</si>
  <si>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</si>
  <si>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</si>
  <si>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</si>
  <si>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</si>
  <si>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</si>
  <si>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</si>
  <si>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</si>
  <si>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</si>
  <si>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</si>
  <si>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</si>
  <si>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</si>
  <si>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</si>
  <si>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</si>
  <si>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</si>
  <si>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</si>
  <si>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</si>
  <si>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</si>
  <si>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</si>
  <si>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</si>
  <si>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</si>
  <si>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</si>
  <si>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</si>
  <si>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</si>
  <si>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</si>
  <si>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</si>
  <si>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</si>
  <si>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</si>
  <si>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</si>
  <si>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</si>
  <si>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</si>
  <si>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</si>
  <si>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</si>
  <si>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</si>
  <si>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</si>
  <si>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</si>
  <si>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</si>
  <si>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</si>
  <si>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</si>
  <si>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</si>
  <si>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</si>
  <si>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</si>
  <si>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</si>
  <si>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</si>
  <si>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</si>
  <si>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</si>
  <si>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</si>
  <si>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</si>
  <si>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</si>
  <si>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</si>
  <si>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</si>
  <si>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</si>
  <si>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</si>
  <si>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</si>
  <si>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</si>
  <si>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</si>
  <si>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</si>
  <si>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</si>
  <si>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</si>
  <si>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</si>
  <si>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</si>
  <si>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</si>
  <si>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</si>
  <si>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</si>
  <si>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</si>
  <si>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</si>
  <si>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</si>
  <si>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</si>
  <si>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</si>
  <si>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</si>
  <si>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</si>
  <si>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</si>
  <si>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</si>
  <si>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</si>
  <si>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</si>
  <si>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</si>
  <si>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</si>
  <si>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</si>
  <si>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</si>
  <si>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</si>
  <si>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</si>
  <si>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</si>
  <si>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</si>
  <si>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</si>
  <si>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</si>
  <si>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</si>
  <si>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</si>
  <si>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</si>
  <si>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</si>
  <si>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</si>
  <si>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</si>
  <si>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</si>
  <si>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</si>
  <si>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</si>
  <si>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</si>
  <si>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</si>
  <si>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</si>
  <si>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</si>
  <si>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</si>
  <si>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</si>
  <si>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</si>
  <si>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</si>
  <si>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</si>
  <si>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</si>
  <si>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</si>
  <si>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</si>
  <si>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</si>
  <si>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</si>
  <si>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</si>
  <si>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</si>
  <si>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</si>
  <si>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</si>
  <si>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</si>
  <si>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</si>
  <si>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</si>
  <si>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</si>
  <si>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</si>
  <si>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</si>
  <si>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</si>
  <si>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</si>
  <si>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</si>
  <si>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</si>
  <si>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</si>
  <si>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</si>
  <si>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</si>
  <si>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</si>
  <si>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</si>
  <si>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</si>
  <si>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</si>
  <si>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</si>
  <si>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</si>
  <si>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</si>
  <si>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</si>
  <si>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</si>
  <si>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</si>
  <si>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</si>
  <si>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</si>
  <si>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</si>
  <si>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</si>
  <si>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</si>
  <si>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</si>
  <si>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</si>
  <si>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</si>
  <si>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</si>
  <si>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</si>
  <si>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</si>
  <si>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</si>
  <si>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</si>
  <si>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</si>
  <si>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</si>
  <si>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</si>
  <si>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</si>
  <si>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</si>
  <si>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</si>
  <si>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</si>
  <si>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</si>
  <si>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</si>
  <si>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</si>
  <si>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</si>
  <si>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</si>
  <si>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</si>
  <si>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</si>
  <si>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</si>
  <si>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</si>
  <si>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</si>
  <si>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</si>
  <si>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</si>
  <si>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</si>
  <si>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</si>
  <si>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</si>
  <si>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</si>
  <si>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</si>
  <si>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</si>
  <si>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</si>
  <si>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</si>
  <si>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</si>
  <si>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</si>
  <si>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</si>
  <si>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</si>
  <si>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</si>
  <si>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</si>
  <si>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</si>
  <si>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</si>
  <si>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</si>
  <si>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</si>
  <si>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</si>
  <si>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</si>
  <si>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</si>
  <si>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</si>
  <si>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</si>
  <si>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</si>
  <si>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</si>
  <si>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</si>
  <si>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</si>
  <si>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</si>
  <si>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</si>
  <si>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</si>
  <si>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</si>
  <si>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</si>
  <si>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</si>
  <si>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</si>
  <si>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</si>
  <si>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</si>
  <si>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</si>
  <si>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</si>
  <si>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</si>
  <si>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</si>
  <si>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</si>
  <si>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</si>
  <si>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</si>
  <si>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</si>
  <si>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</si>
  <si>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</si>
  <si>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</si>
  <si>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</si>
  <si>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</si>
  <si>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</si>
  <si>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</si>
  <si>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</si>
  <si>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</si>
  <si>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</si>
  <si>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</si>
  <si>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</si>
  <si>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</si>
  <si>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</si>
  <si>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</si>
  <si>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</si>
  <si>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</si>
  <si>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</si>
  <si>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</si>
  <si>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</si>
  <si>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</si>
  <si>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</si>
  <si>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</si>
  <si>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</si>
  <si>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</si>
  <si>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</si>
  <si>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</si>
  <si>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</si>
  <si>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</si>
  <si>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</si>
  <si>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</si>
  <si>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</si>
  <si>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</si>
  <si>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</si>
  <si>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</si>
  <si>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</si>
  <si>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</si>
  <si>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</si>
  <si>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</si>
  <si>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</si>
  <si>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</si>
  <si>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</si>
  <si>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</si>
  <si>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</si>
  <si>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</si>
  <si>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</si>
  <si>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</si>
  <si>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</si>
  <si>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</si>
  <si>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</si>
  <si>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</si>
  <si>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</si>
  <si>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</si>
  <si>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</si>
  <si>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</si>
  <si>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</si>
  <si>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</si>
  <si>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</si>
  <si>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</si>
  <si>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</si>
  <si>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</si>
  <si>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</si>
  <si>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</si>
  <si>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</si>
  <si>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</si>
  <si>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</si>
  <si>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</si>
  <si>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</si>
  <si>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</si>
  <si>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</si>
  <si>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</si>
  <si>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</si>
  <si>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</si>
  <si>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</si>
  <si>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</si>
  <si>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</si>
  <si>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</si>
  <si>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</si>
  <si>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</si>
  <si>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</si>
  <si>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</si>
  <si>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</si>
  <si>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</si>
  <si>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</si>
  <si>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</si>
  <si>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</si>
  <si>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</si>
  <si>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</si>
  <si>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</si>
  <si>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</si>
  <si>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</si>
  <si>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</si>
  <si>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</si>
  <si>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</si>
  <si>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</si>
  <si>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</si>
  <si>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</si>
  <si>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</si>
  <si>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</si>
  <si>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</si>
  <si>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</si>
  <si>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</si>
  <si>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</si>
  <si>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</si>
  <si>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</si>
  <si>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</si>
  <si>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</si>
  <si>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</si>
  <si>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</si>
  <si>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</si>
  <si>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</si>
  <si>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</si>
  <si>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</si>
  <si>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</si>
  <si>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</si>
  <si>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</si>
  <si>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</si>
  <si>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</si>
  <si>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</si>
  <si>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</si>
  <si>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</si>
  <si>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</si>
  <si>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</si>
  <si>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</si>
  <si>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</si>
  <si>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</si>
  <si>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</si>
  <si>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</si>
  <si>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</si>
  <si>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</si>
  <si>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</si>
  <si>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</si>
  <si>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</si>
  <si>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</si>
  <si>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</si>
  <si>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</si>
  <si>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</si>
  <si>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</si>
  <si>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</si>
  <si>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</si>
  <si>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</si>
  <si>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</si>
  <si>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</si>
  <si>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</si>
  <si>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</si>
  <si>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</si>
  <si>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</si>
  <si>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</si>
  <si>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</si>
  <si>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</si>
  <si>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</si>
  <si>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</si>
  <si>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</si>
  <si>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</si>
  <si>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</si>
  <si>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</si>
  <si>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</si>
  <si>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</si>
  <si>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</si>
  <si>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</si>
  <si>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</si>
  <si>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</si>
  <si>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</si>
  <si>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</si>
  <si>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</si>
  <si>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</si>
  <si>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</si>
  <si>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</si>
  <si>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</si>
  <si>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</si>
  <si>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</si>
  <si>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</si>
  <si>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</si>
  <si>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</si>
  <si>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</si>
  <si>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</si>
  <si>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</si>
  <si>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</si>
  <si>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</si>
  <si>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</si>
  <si>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</si>
  <si>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</si>
  <si>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</si>
  <si>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</si>
  <si>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</si>
  <si>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</si>
  <si>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</si>
  <si>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</si>
  <si>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</si>
  <si>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</si>
  <si>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</si>
  <si>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</si>
  <si>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</si>
  <si>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</si>
  <si>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</si>
  <si>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</si>
  <si>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</si>
  <si>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</si>
  <si>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</si>
  <si>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</si>
  <si>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</si>
  <si>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</si>
  <si>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</si>
  <si>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</si>
  <si>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</si>
  <si>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</si>
  <si>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</si>
  <si>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</si>
  <si>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</si>
  <si>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</si>
  <si>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</si>
  <si>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</si>
  <si>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</si>
  <si>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</si>
  <si>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</si>
  <si>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</si>
  <si>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</si>
  <si>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</si>
  <si>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</si>
  <si>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</si>
  <si>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</si>
  <si>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</si>
  <si>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</si>
  <si>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</si>
  <si>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</si>
  <si>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</si>
  <si>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</si>
  <si>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</si>
  <si>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</si>
  <si>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</si>
  <si>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</si>
  <si>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</si>
  <si>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</si>
  <si>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</si>
  <si>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</si>
  <si>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</si>
  <si>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</si>
  <si>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</si>
  <si>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</si>
  <si>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</si>
  <si>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</si>
  <si>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</si>
  <si>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</si>
  <si>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</si>
  <si>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</si>
  <si>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</si>
  <si>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</si>
  <si>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</si>
  <si>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</si>
  <si>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</si>
  <si>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</si>
  <si>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</si>
  <si>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</si>
  <si>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</si>
  <si>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</si>
  <si>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</si>
  <si>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</si>
  <si>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</si>
  <si>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</si>
  <si>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</si>
  <si>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</si>
  <si>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</si>
  <si>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</si>
  <si>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</si>
  <si>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</si>
  <si>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</si>
  <si>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</si>
  <si>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</si>
  <si>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</si>
  <si>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</si>
  <si>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</si>
  <si>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</si>
  <si>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</si>
  <si>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</si>
  <si>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</si>
  <si>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</si>
  <si>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</si>
  <si>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</si>
  <si>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</si>
  <si>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</si>
  <si>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</si>
  <si>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</si>
  <si>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</si>
  <si>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</si>
  <si>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</si>
  <si>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</si>
  <si>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</si>
  <si>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</si>
  <si>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</si>
  <si>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</si>
  <si>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</si>
  <si>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</si>
  <si>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</si>
  <si>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</si>
  <si>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</si>
  <si>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</si>
  <si>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</si>
  <si>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</si>
  <si>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</si>
  <si>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</si>
  <si>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</si>
  <si>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</si>
  <si>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</si>
  <si>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</si>
  <si>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</si>
  <si>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</si>
  <si>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</si>
  <si>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</si>
  <si>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</si>
  <si>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</si>
  <si>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</si>
  <si>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</si>
  <si>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</si>
  <si>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</si>
  <si>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</si>
  <si>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</si>
  <si>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</si>
  <si>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</si>
  <si>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</si>
  <si>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</si>
  <si>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</si>
  <si>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</si>
  <si>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</si>
  <si>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</si>
  <si>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</si>
  <si>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</si>
  <si>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</si>
  <si>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</si>
  <si>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</si>
  <si>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</si>
  <si>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</si>
  <si>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</si>
  <si>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</si>
  <si>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</si>
  <si>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</si>
  <si>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</si>
  <si>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</si>
  <si>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</si>
  <si>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</si>
  <si>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</si>
  <si>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</si>
  <si>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</si>
  <si>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</si>
  <si>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</si>
  <si>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</si>
  <si>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</si>
  <si>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</si>
  <si>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</si>
  <si>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</si>
  <si>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</si>
  <si>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</si>
  <si>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</si>
  <si>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</si>
  <si>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</si>
  <si>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</si>
  <si>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</si>
  <si>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</si>
  <si>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</si>
  <si>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</si>
  <si>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</si>
  <si>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</si>
  <si>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</si>
  <si>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</si>
  <si>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</si>
  <si>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</si>
  <si>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</si>
  <si>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</si>
  <si>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</si>
  <si>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</si>
  <si>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</si>
  <si>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</si>
  <si>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</si>
  <si>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Conservation Corps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</si>
</sst>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G21" sqref="G21"/>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zoomScale="70" zoomScaleNormal="70" workbookViewId="0">
      <pane ySplit="9" topLeftCell="A48" activePane="bottomLeft" state="frozen"/>
      <selection pane="bottomLeft" activeCell="K58" sqref="K5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726</v>
      </c>
      <c r="G5" s="194"/>
      <c r="H5" s="194"/>
      <c r="I5" s="194"/>
      <c r="L5" s="12"/>
      <c r="M5" s="12"/>
      <c r="N5" s="12"/>
      <c r="O5" s="12"/>
      <c r="P5" s="12"/>
      <c r="Q5" s="12"/>
    </row>
    <row r="6" spans="1:20" ht="16.5" customHeight="1" x14ac:dyDescent="0.25">
      <c r="A6" s="192" t="s">
        <v>1634</v>
      </c>
      <c r="B6" s="192"/>
      <c r="C6" s="192"/>
      <c r="D6" s="192"/>
      <c r="E6" s="192"/>
      <c r="F6" s="195">
        <v>1</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6865940</v>
      </c>
      <c r="M17" s="143">
        <v>6865940</v>
      </c>
      <c r="P17" s="143">
        <v>6865940</v>
      </c>
      <c r="Q17" s="155"/>
      <c r="S17" s="154">
        <f t="shared" si="0"/>
        <v>0</v>
      </c>
      <c r="T17" s="180" t="s">
        <v>1684</v>
      </c>
    </row>
    <row r="18" spans="1:20" ht="16.5" customHeight="1" x14ac:dyDescent="0.25">
      <c r="A18" s="54"/>
      <c r="B18" s="9" t="s">
        <v>168</v>
      </c>
      <c r="C18" s="9"/>
      <c r="D18" s="9"/>
      <c r="E18" s="140"/>
      <c r="F18" s="141"/>
      <c r="G18" s="141"/>
      <c r="H18" s="142"/>
      <c r="I18" s="142"/>
      <c r="J18" s="178">
        <f>P18</f>
        <v>109969</v>
      </c>
      <c r="M18" s="143"/>
      <c r="P18" s="152">
        <f>IF(SUM($Q$20:$Q$23)&gt;SUM($P$15:$P$17),SUM($Q$20:$Q$23)-SUM($P$15:$P$17),0)</f>
        <v>109969</v>
      </c>
      <c r="Q18" s="155"/>
      <c r="S18" s="154">
        <f t="shared" si="0"/>
        <v>109969</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2215524</v>
      </c>
      <c r="N22" s="143">
        <v>2215524</v>
      </c>
      <c r="P22" s="155"/>
      <c r="Q22" s="143">
        <v>2215524</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4760385</v>
      </c>
      <c r="N23" s="143">
        <v>4760385</v>
      </c>
      <c r="P23" s="155"/>
      <c r="Q23" s="143">
        <v>4760385</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6975909</v>
      </c>
      <c r="K26" s="107">
        <f>SUM(K15:K25)</f>
        <v>6975909</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1346999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1346999</v>
      </c>
    </row>
    <row r="59" spans="1:16" ht="16.5" customHeight="1" x14ac:dyDescent="0.25">
      <c r="A59" s="54"/>
      <c r="C59" s="16"/>
      <c r="D59" s="16"/>
      <c r="E59" s="16"/>
      <c r="F59" s="17"/>
      <c r="G59" s="17"/>
      <c r="H59" s="18"/>
      <c r="I59" s="18"/>
      <c r="J59" s="107">
        <f>SUM(J55:J58)</f>
        <v>1346999</v>
      </c>
      <c r="K59" s="107">
        <f>SUM(K55:K58)</f>
        <v>1346999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1271147</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50306</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1321453</v>
      </c>
    </row>
    <row r="65" spans="1:12" ht="16.5" customHeight="1" x14ac:dyDescent="0.25">
      <c r="A65" s="54"/>
      <c r="C65" s="16"/>
      <c r="D65" s="16"/>
      <c r="E65" s="16"/>
      <c r="F65" s="17"/>
      <c r="G65" s="17"/>
      <c r="H65" s="18"/>
      <c r="I65" s="18"/>
      <c r="J65" s="107">
        <f>SUM(J62:J64)</f>
        <v>1321453</v>
      </c>
      <c r="K65" s="107">
        <f>SUM(K62:K64)</f>
        <v>1321453</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1271147</v>
      </c>
      <c r="K68" s="144"/>
    </row>
    <row r="69" spans="1:12" ht="16.5" customHeight="1" x14ac:dyDescent="0.25">
      <c r="A69" s="54"/>
      <c r="B69" s="9"/>
      <c r="C69" s="9" t="s">
        <v>185</v>
      </c>
      <c r="D69" s="140"/>
      <c r="E69" s="140"/>
      <c r="F69" s="141"/>
      <c r="G69" s="141"/>
      <c r="H69" s="142"/>
      <c r="I69" s="142"/>
      <c r="J69" s="144"/>
      <c r="K69" s="143">
        <v>1271147</v>
      </c>
      <c r="L69" s="10" t="str">
        <f>IF($J$62=$K$69,"","&lt;- Accts 0848 must agree")</f>
        <v/>
      </c>
    </row>
    <row r="70" spans="1:12" ht="16.5" customHeight="1" x14ac:dyDescent="0.25">
      <c r="A70" s="54"/>
      <c r="C70" s="16"/>
      <c r="D70" s="16"/>
      <c r="E70" s="16"/>
      <c r="F70" s="17"/>
      <c r="G70" s="17"/>
      <c r="H70" s="18"/>
      <c r="I70" s="18"/>
      <c r="J70" s="107">
        <f>SUM(J68:J69)</f>
        <v>1271147</v>
      </c>
      <c r="K70" s="107">
        <f>SUM(K68:K69)</f>
        <v>1271147</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1342602</v>
      </c>
      <c r="K75" s="144"/>
    </row>
    <row r="76" spans="1:12" ht="16.5" customHeight="1" x14ac:dyDescent="0.25">
      <c r="A76" s="54"/>
      <c r="B76" s="9"/>
      <c r="C76" s="9" t="s">
        <v>193</v>
      </c>
      <c r="D76" s="140"/>
      <c r="E76" s="140"/>
      <c r="F76" s="141"/>
      <c r="G76" s="141"/>
      <c r="H76" s="142"/>
      <c r="I76" s="142"/>
      <c r="J76" s="144"/>
      <c r="K76" s="143">
        <v>1342602</v>
      </c>
    </row>
    <row r="77" spans="1:12" ht="16.5" customHeight="1" x14ac:dyDescent="0.2">
      <c r="A77" s="54"/>
      <c r="B77" s="190" t="s">
        <v>1672</v>
      </c>
      <c r="C77" s="190"/>
      <c r="D77" s="190"/>
      <c r="E77" s="190"/>
      <c r="F77" s="190"/>
      <c r="G77" s="190"/>
      <c r="H77" s="190"/>
      <c r="I77" s="190"/>
      <c r="J77" s="107">
        <f>SUM(J75:J76)</f>
        <v>1342602</v>
      </c>
      <c r="K77" s="107">
        <f>SUM(K75:K76)</f>
        <v>1342602</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752761</v>
      </c>
      <c r="K112" s="25"/>
    </row>
    <row r="113" spans="1:12" ht="16.5" customHeight="1" x14ac:dyDescent="0.2">
      <c r="A113" s="165" t="s">
        <v>1645</v>
      </c>
      <c r="B113" s="9"/>
      <c r="C113" s="9" t="s">
        <v>173</v>
      </c>
      <c r="D113" s="7"/>
      <c r="E113" s="25"/>
      <c r="F113" s="25"/>
      <c r="G113" s="25"/>
      <c r="H113" s="25"/>
      <c r="I113" s="25"/>
      <c r="J113" s="25"/>
      <c r="K113" s="143">
        <v>752761</v>
      </c>
    </row>
    <row r="114" spans="1:12" ht="16.5" customHeight="1" x14ac:dyDescent="0.25">
      <c r="A114" s="6"/>
      <c r="B114" s="130" t="s">
        <v>1639</v>
      </c>
      <c r="C114" s="114"/>
      <c r="D114" s="114"/>
      <c r="H114" s="10"/>
      <c r="J114" s="108">
        <f>SUM(J110:J113)</f>
        <v>752761</v>
      </c>
      <c r="K114" s="108">
        <f>SUM(K110:K113)</f>
        <v>752761</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7618701</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-3562523</v>
      </c>
    </row>
    <row r="128" spans="1:12" ht="16.5" customHeight="1" x14ac:dyDescent="0.25">
      <c r="D128" s="140" t="s">
        <v>1656</v>
      </c>
      <c r="H128" s="10"/>
      <c r="K128" s="169">
        <f>-K23-K48+J68+J75+J96-K113</f>
        <v>-2899397</v>
      </c>
    </row>
    <row r="129" spans="4:11" ht="16.5" customHeight="1" x14ac:dyDescent="0.25">
      <c r="D129" s="140" t="s">
        <v>1657</v>
      </c>
      <c r="H129" s="10"/>
      <c r="K129" s="169">
        <f>-K76</f>
        <v>-1342602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8A33-71FB-4FE6-B431-E46A9728BF25}">
  <sheetPr>
    <tabColor theme="9" tint="0.59999389629810485"/>
    <pageSetUpPr fitToPage="1"/>
  </sheetPr>
  <dimension ref="A1:T193"/>
  <sheetViews>
    <sheetView topLeftCell="A52" zoomScale="70" zoomScaleNormal="70" workbookViewId="0">
      <selection activeCell="J55" sqref="J55"/>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726</v>
      </c>
      <c r="G5" s="194"/>
      <c r="H5" s="194"/>
      <c r="I5" s="194"/>
      <c r="L5" s="12"/>
      <c r="M5" s="12"/>
      <c r="N5" s="12"/>
      <c r="O5" s="12"/>
      <c r="P5" s="12"/>
      <c r="Q5" s="12"/>
    </row>
    <row r="6" spans="1:20" ht="16.5" customHeight="1" x14ac:dyDescent="0.25">
      <c r="A6" s="192" t="s">
        <v>1634</v>
      </c>
      <c r="B6" s="192"/>
      <c r="C6" s="192"/>
      <c r="D6" s="192"/>
      <c r="E6" s="192"/>
      <c r="F6" s="195">
        <v>318</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1565317</v>
      </c>
      <c r="M17" s="143">
        <v>1565317</v>
      </c>
      <c r="P17" s="143">
        <v>1565317</v>
      </c>
      <c r="Q17" s="155"/>
      <c r="S17" s="154">
        <f t="shared" si="0"/>
        <v>0</v>
      </c>
      <c r="T17" s="180" t="s">
        <v>1684</v>
      </c>
    </row>
    <row r="18" spans="1:20" ht="16.5" customHeight="1" x14ac:dyDescent="0.25">
      <c r="A18" s="54"/>
      <c r="B18" s="9" t="s">
        <v>168</v>
      </c>
      <c r="C18" s="9"/>
      <c r="D18" s="9"/>
      <c r="E18" s="140"/>
      <c r="F18" s="141"/>
      <c r="G18" s="141"/>
      <c r="H18" s="142"/>
      <c r="I18" s="142"/>
      <c r="J18" s="178">
        <f>P18</f>
        <v>21475</v>
      </c>
      <c r="M18" s="143"/>
      <c r="P18" s="152">
        <f>IF(SUM($Q$20:$Q$23)&gt;SUM($P$15:$P$17),SUM($Q$20:$Q$23)-SUM($P$15:$P$17),0)</f>
        <v>21475</v>
      </c>
      <c r="Q18" s="155"/>
      <c r="S18" s="154">
        <f t="shared" si="0"/>
        <v>21475</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570015</v>
      </c>
      <c r="N22" s="143">
        <v>570015</v>
      </c>
      <c r="P22" s="155"/>
      <c r="Q22" s="143">
        <v>570015</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1016777</v>
      </c>
      <c r="N23" s="143">
        <v>1016777</v>
      </c>
      <c r="P23" s="155"/>
      <c r="Q23" s="143">
        <v>1016777</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1586792</v>
      </c>
      <c r="K26" s="107">
        <f>SUM(K15:K25)</f>
        <v>1586792</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326820</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326820</v>
      </c>
    </row>
    <row r="59" spans="1:16" ht="16.5" customHeight="1" x14ac:dyDescent="0.25">
      <c r="A59" s="54"/>
      <c r="C59" s="16"/>
      <c r="D59" s="16"/>
      <c r="E59" s="16"/>
      <c r="F59" s="17"/>
      <c r="G59" s="17"/>
      <c r="H59" s="18"/>
      <c r="I59" s="18"/>
      <c r="J59" s="107">
        <f>SUM(J55:J58)</f>
        <v>326820</v>
      </c>
      <c r="K59" s="107">
        <f>SUM(K55:K58)</f>
        <v>326820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289254</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9147</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298401</v>
      </c>
    </row>
    <row r="65" spans="1:12" ht="16.5" customHeight="1" x14ac:dyDescent="0.25">
      <c r="A65" s="54"/>
      <c r="C65" s="16"/>
      <c r="D65" s="16"/>
      <c r="E65" s="16"/>
      <c r="F65" s="17"/>
      <c r="G65" s="17"/>
      <c r="H65" s="18"/>
      <c r="I65" s="18"/>
      <c r="J65" s="107">
        <f>SUM(J62:J64)</f>
        <v>298401</v>
      </c>
      <c r="K65" s="107">
        <f>SUM(K62:K64)</f>
        <v>298401</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289254</v>
      </c>
      <c r="K68" s="144"/>
    </row>
    <row r="69" spans="1:12" ht="16.5" customHeight="1" x14ac:dyDescent="0.25">
      <c r="A69" s="54"/>
      <c r="B69" s="9"/>
      <c r="C69" s="9" t="s">
        <v>185</v>
      </c>
      <c r="D69" s="140"/>
      <c r="E69" s="140"/>
      <c r="F69" s="141"/>
      <c r="G69" s="141"/>
      <c r="H69" s="142"/>
      <c r="I69" s="142"/>
      <c r="J69" s="144"/>
      <c r="K69" s="143">
        <v>289254</v>
      </c>
      <c r="L69" s="10" t="str">
        <f>IF($J$62=$K$69,"","&lt;- Accts 0848 must agree")</f>
        <v/>
      </c>
    </row>
    <row r="70" spans="1:12" ht="16.5" customHeight="1" x14ac:dyDescent="0.25">
      <c r="A70" s="54"/>
      <c r="C70" s="16"/>
      <c r="D70" s="16"/>
      <c r="E70" s="16"/>
      <c r="F70" s="17"/>
      <c r="G70" s="17"/>
      <c r="H70" s="18"/>
      <c r="I70" s="18"/>
      <c r="J70" s="107">
        <f>SUM(J68:J69)</f>
        <v>289254</v>
      </c>
      <c r="K70" s="107">
        <f>SUM(K68:K69)</f>
        <v>289254</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320249</v>
      </c>
      <c r="K75" s="144"/>
    </row>
    <row r="76" spans="1:12" ht="16.5" customHeight="1" x14ac:dyDescent="0.25">
      <c r="A76" s="54"/>
      <c r="B76" s="9"/>
      <c r="C76" s="9" t="s">
        <v>193</v>
      </c>
      <c r="D76" s="140"/>
      <c r="E76" s="140"/>
      <c r="F76" s="141"/>
      <c r="G76" s="141"/>
      <c r="H76" s="142"/>
      <c r="I76" s="142"/>
      <c r="J76" s="144"/>
      <c r="K76" s="143">
        <v>320249</v>
      </c>
    </row>
    <row r="77" spans="1:12" ht="16.5" customHeight="1" x14ac:dyDescent="0.2">
      <c r="A77" s="54"/>
      <c r="B77" s="190" t="s">
        <v>1672</v>
      </c>
      <c r="C77" s="190"/>
      <c r="D77" s="190"/>
      <c r="E77" s="190"/>
      <c r="F77" s="190"/>
      <c r="G77" s="190"/>
      <c r="H77" s="190"/>
      <c r="I77" s="190"/>
      <c r="J77" s="107">
        <f>SUM(J75:J76)</f>
        <v>320249</v>
      </c>
      <c r="K77" s="107">
        <f>SUM(K75:K76)</f>
        <v>320249</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527444</v>
      </c>
      <c r="K112" s="25"/>
    </row>
    <row r="113" spans="1:12" ht="16.5" customHeight="1" x14ac:dyDescent="0.2">
      <c r="A113" s="165" t="s">
        <v>1645</v>
      </c>
      <c r="B113" s="9"/>
      <c r="C113" s="9" t="s">
        <v>173</v>
      </c>
      <c r="D113" s="7"/>
      <c r="E113" s="25"/>
      <c r="F113" s="25"/>
      <c r="G113" s="25"/>
      <c r="H113" s="25"/>
      <c r="I113" s="25"/>
      <c r="J113" s="25"/>
      <c r="K113" s="143">
        <v>527444</v>
      </c>
    </row>
    <row r="114" spans="1:12" ht="16.5" customHeight="1" x14ac:dyDescent="0.25">
      <c r="A114" s="6"/>
      <c r="B114" s="130" t="s">
        <v>1639</v>
      </c>
      <c r="C114" s="114"/>
      <c r="D114" s="114"/>
      <c r="H114" s="10"/>
      <c r="J114" s="108">
        <f>SUM(J110:J113)</f>
        <v>527444</v>
      </c>
      <c r="K114" s="108">
        <f>SUM(K110:K113)</f>
        <v>527444</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2092761</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-896835</v>
      </c>
    </row>
    <row r="128" spans="1:12" ht="16.5" customHeight="1" x14ac:dyDescent="0.25">
      <c r="D128" s="140" t="s">
        <v>1656</v>
      </c>
      <c r="H128" s="10"/>
      <c r="K128" s="169">
        <f>-K23-K48+J68+J75+J96-K113</f>
        <v>-934718</v>
      </c>
    </row>
    <row r="129" spans="4:11" ht="16.5" customHeight="1" x14ac:dyDescent="0.25">
      <c r="D129" s="140" t="s">
        <v>1657</v>
      </c>
      <c r="H129" s="10"/>
      <c r="K129" s="169">
        <f>-K76</f>
        <v>-320249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DEE64ED6-C707-4FC2-A36D-25F0B8E37FC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CA72F28-2856-4527-A505-7C021556920C}">
      <formula1>0</formula1>
    </dataValidation>
    <dataValidation operator="lessThan" allowBlank="1" showInputMessage="1" showErrorMessage="1" sqref="A3:A8" xr:uid="{8D7F2EBD-51AA-4FFD-A8F3-6BA370A19720}"/>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D0EBDA14-29F8-4B4C-A858-294A2BB3FA8F}">
          <x14:formula1>
            <xm:f>'Drop Down Menus'!$E$1:$E$3</xm:f>
          </x14:formula1>
          <xm:sqref>F8</xm:sqref>
        </x14:dataValidation>
        <x14:dataValidation type="list" allowBlank="1" showInputMessage="1" showErrorMessage="1" xr:uid="{BAA3DB6A-40C3-429C-BC1C-A9D3CF93B1CF}">
          <x14:formula1>
            <xm:f>'Drop Down Menus'!$B$1:$B$2</xm:f>
          </x14:formula1>
          <xm:sqref>F7</xm:sqref>
        </x14:dataValidation>
        <x14:dataValidation type="list" allowBlank="1" showInputMessage="1" showErrorMessage="1" xr:uid="{96109F12-EAAF-42A3-A6D9-EAF45C60B49A}">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525-BEDA-4E62-B90A-C66FFCF2CFF4}">
  <sheetPr>
    <tabColor theme="9" tint="0.59999389629810485"/>
    <pageSetUpPr fitToPage="1"/>
  </sheetPr>
  <dimension ref="A1:T193"/>
  <sheetViews>
    <sheetView tabSelected="1" topLeftCell="A29" zoomScale="70" zoomScaleNormal="70" workbookViewId="0">
      <selection activeCell="K58" sqref="K5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726</v>
      </c>
      <c r="G5" s="194"/>
      <c r="H5" s="194"/>
      <c r="I5" s="194"/>
      <c r="L5" s="12"/>
      <c r="M5" s="12"/>
      <c r="N5" s="12"/>
      <c r="O5" s="12"/>
      <c r="P5" s="12"/>
      <c r="Q5" s="12"/>
    </row>
    <row r="6" spans="1:20" ht="16.5" customHeight="1" x14ac:dyDescent="0.25">
      <c r="A6" s="192" t="s">
        <v>1634</v>
      </c>
      <c r="B6" s="192"/>
      <c r="C6" s="192"/>
      <c r="D6" s="192"/>
      <c r="E6" s="192"/>
      <c r="F6" s="195">
        <v>3228</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RESOURCES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417349</v>
      </c>
      <c r="M17" s="143">
        <v>417349</v>
      </c>
      <c r="P17" s="143">
        <v>417349</v>
      </c>
      <c r="Q17" s="155"/>
      <c r="S17" s="154">
        <f t="shared" si="0"/>
        <v>0</v>
      </c>
      <c r="T17" s="180" t="s">
        <v>1684</v>
      </c>
    </row>
    <row r="18" spans="1:20" ht="16.5" customHeight="1" x14ac:dyDescent="0.25">
      <c r="A18" s="54"/>
      <c r="B18" s="9" t="s">
        <v>168</v>
      </c>
      <c r="C18" s="9"/>
      <c r="D18" s="9"/>
      <c r="E18" s="140"/>
      <c r="F18" s="141"/>
      <c r="G18" s="141"/>
      <c r="H18" s="142"/>
      <c r="I18" s="142"/>
      <c r="J18" s="178">
        <f>P18</f>
        <v>109368</v>
      </c>
      <c r="M18" s="143"/>
      <c r="P18" s="152">
        <f>IF(SUM($Q$20:$Q$23)&gt;SUM($P$15:$P$17),SUM($Q$20:$Q$23)-SUM($P$15:$P$17),0)</f>
        <v>109368</v>
      </c>
      <c r="Q18" s="155"/>
      <c r="S18" s="154">
        <f t="shared" si="0"/>
        <v>109368</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308542</v>
      </c>
      <c r="N22" s="143">
        <v>308542</v>
      </c>
      <c r="P22" s="155"/>
      <c r="Q22" s="143">
        <v>308542</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218175</v>
      </c>
      <c r="N23" s="143">
        <v>218175</v>
      </c>
      <c r="P23" s="155"/>
      <c r="Q23" s="143">
        <v>218175</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526717</v>
      </c>
      <c r="K26" s="107">
        <f>SUM(K15:K25)</f>
        <v>526717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42119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42119</v>
      </c>
    </row>
    <row r="59" spans="1:16" ht="16.5" customHeight="1" x14ac:dyDescent="0.25">
      <c r="A59" s="54"/>
      <c r="C59" s="16"/>
      <c r="D59" s="16"/>
      <c r="E59" s="16"/>
      <c r="F59" s="17"/>
      <c r="G59" s="17"/>
      <c r="H59" s="18"/>
      <c r="I59" s="18"/>
      <c r="J59" s="107">
        <f>SUM(J55:J58)</f>
        <v>42119</v>
      </c>
      <c r="K59" s="107">
        <f>SUM(K55:K58)</f>
        <v>42119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102881</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1508</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v>104389</v>
      </c>
    </row>
    <row r="65" spans="1:12" ht="16.5" customHeight="1" x14ac:dyDescent="0.25">
      <c r="A65" s="54"/>
      <c r="C65" s="16"/>
      <c r="D65" s="16"/>
      <c r="E65" s="16"/>
      <c r="F65" s="17"/>
      <c r="G65" s="17"/>
      <c r="H65" s="18"/>
      <c r="I65" s="18"/>
      <c r="J65" s="107">
        <f>SUM(J62:J64)</f>
        <v>104389</v>
      </c>
      <c r="K65" s="107">
        <f>SUM(K62:K64)</f>
        <v>104389</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102881</v>
      </c>
      <c r="K68" s="144"/>
    </row>
    <row r="69" spans="1:12" ht="16.5" customHeight="1" x14ac:dyDescent="0.25">
      <c r="A69" s="54"/>
      <c r="B69" s="9"/>
      <c r="C69" s="9" t="s">
        <v>185</v>
      </c>
      <c r="D69" s="140"/>
      <c r="E69" s="140"/>
      <c r="F69" s="141"/>
      <c r="G69" s="141"/>
      <c r="H69" s="142"/>
      <c r="I69" s="142"/>
      <c r="J69" s="144"/>
      <c r="K69" s="143">
        <v>102881</v>
      </c>
      <c r="L69" s="10" t="str">
        <f>IF($J$62=$K$69,"","&lt;- Accts 0848 must agree")</f>
        <v/>
      </c>
    </row>
    <row r="70" spans="1:12" ht="16.5" customHeight="1" x14ac:dyDescent="0.25">
      <c r="A70" s="54"/>
      <c r="C70" s="16"/>
      <c r="D70" s="16"/>
      <c r="E70" s="16"/>
      <c r="F70" s="17"/>
      <c r="G70" s="17"/>
      <c r="H70" s="18"/>
      <c r="I70" s="18"/>
      <c r="J70" s="107">
        <f>SUM(J68:J69)</f>
        <v>102881</v>
      </c>
      <c r="K70" s="107">
        <f>SUM(K68:K69)</f>
        <v>102881</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89365</v>
      </c>
      <c r="K75" s="144"/>
    </row>
    <row r="76" spans="1:12" ht="16.5" customHeight="1" x14ac:dyDescent="0.25">
      <c r="A76" s="54"/>
      <c r="B76" s="9"/>
      <c r="C76" s="9" t="s">
        <v>193</v>
      </c>
      <c r="D76" s="140"/>
      <c r="E76" s="140"/>
      <c r="F76" s="141"/>
      <c r="G76" s="141"/>
      <c r="H76" s="142"/>
      <c r="I76" s="142"/>
      <c r="J76" s="144"/>
      <c r="K76" s="143">
        <v>89365</v>
      </c>
    </row>
    <row r="77" spans="1:12" ht="16.5" customHeight="1" x14ac:dyDescent="0.2">
      <c r="A77" s="54"/>
      <c r="B77" s="190" t="s">
        <v>1672</v>
      </c>
      <c r="C77" s="190"/>
      <c r="D77" s="190"/>
      <c r="E77" s="190"/>
      <c r="F77" s="190"/>
      <c r="G77" s="190"/>
      <c r="H77" s="190"/>
      <c r="I77" s="190"/>
      <c r="J77" s="107">
        <f>SUM(J75:J76)</f>
        <v>89365</v>
      </c>
      <c r="K77" s="107">
        <f>SUM(K75:K76)</f>
        <v>89365</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417349</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-350661</v>
      </c>
    </row>
    <row r="128" spans="1:12" ht="16.5" customHeight="1" x14ac:dyDescent="0.25">
      <c r="D128" s="140" t="s">
        <v>1656</v>
      </c>
      <c r="H128" s="10"/>
      <c r="K128" s="169">
        <f>-K23-K48+J68+J75+J96-K113</f>
        <v>-25929</v>
      </c>
    </row>
    <row r="129" spans="4:11" ht="16.5" customHeight="1" x14ac:dyDescent="0.25">
      <c r="D129" s="140" t="s">
        <v>1657</v>
      </c>
      <c r="H129" s="10"/>
      <c r="K129" s="169">
        <f>-K76</f>
        <v>-89365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89DF38E1-7620-4B64-8655-F12E578ED063}"/>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4ED1A32-4536-423C-A0B6-EC12C62A1CE0}">
      <formula1>0</formula1>
    </dataValidation>
    <dataValidation type="textLength" operator="equal" allowBlank="1" showInputMessage="1" showErrorMessage="1" errorTitle="4-Digit Org Code" error="Enter the Org Code/BU as 4 digits." sqref="F5" xr:uid="{57AE0694-4CA5-43F6-BD40-BD4A528BD217}">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B2558D2E-116F-4664-9723-CB8BAB4F40B3}">
          <x14:formula1>
            <xm:f>'Drop Down Menus'!$A$1:$A$101</xm:f>
          </x14:formula1>
          <xm:sqref>F3</xm:sqref>
        </x14:dataValidation>
        <x14:dataValidation type="list" allowBlank="1" showInputMessage="1" showErrorMessage="1" xr:uid="{280945DA-ECBE-41C1-A9E9-C37CD617B276}">
          <x14:formula1>
            <xm:f>'Drop Down Menus'!$B$1:$B$2</xm:f>
          </x14:formula1>
          <xm:sqref>F7</xm:sqref>
        </x14:dataValidation>
        <x14:dataValidation type="list" allowBlank="1" showInputMessage="1" showErrorMessage="1" xr:uid="{56D70690-A998-41A2-9173-424CC2DE38EE}">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R39" sqref="R3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3340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1752215.87</v>
      </c>
      <c r="C13" s="55">
        <v>51099.68</v>
      </c>
      <c r="D13" s="200" t="s">
        <v>4</v>
      </c>
      <c r="E13" s="201"/>
      <c r="F13" s="201"/>
      <c r="G13" s="29"/>
      <c r="H13" s="29"/>
      <c r="I13" s="29"/>
      <c r="J13" s="29"/>
      <c r="K13" s="29"/>
      <c r="L13" s="29"/>
      <c r="M13" s="29"/>
    </row>
    <row r="14" spans="1:13" x14ac:dyDescent="0.2">
      <c r="A14" s="51" t="str">
        <f>LEFT(A13,4)+1&amp;"–"&amp;RIGHT(A13,4)+1</f>
        <v>2025–2026</v>
      </c>
      <c r="B14" s="55">
        <v>1452625.0299999998</v>
      </c>
      <c r="C14" s="55">
        <v>32625.55</v>
      </c>
      <c r="D14" s="200"/>
      <c r="E14" s="201"/>
      <c r="F14" s="201"/>
    </row>
    <row r="15" spans="1:13" ht="15.75" x14ac:dyDescent="0.2">
      <c r="A15" s="51" t="str">
        <f>LEFT(A14,4)+1&amp;"–"&amp;RIGHT(A14,4)+1</f>
        <v>2026–2027</v>
      </c>
      <c r="B15" s="55">
        <v>1111471.4300000002</v>
      </c>
      <c r="C15" s="55">
        <v>18255.010000000002</v>
      </c>
      <c r="D15" s="197" t="s">
        <v>124</v>
      </c>
      <c r="E15" s="197"/>
      <c r="F15" s="197"/>
      <c r="G15" s="30"/>
      <c r="H15" s="30"/>
      <c r="I15" s="30"/>
      <c r="J15" s="30"/>
      <c r="K15" s="30"/>
      <c r="L15" s="30"/>
      <c r="M15" s="30"/>
    </row>
    <row r="16" spans="1:13" x14ac:dyDescent="0.2">
      <c r="A16" s="51" t="str">
        <f>LEFT(A15,4)+1&amp;"–"&amp;RIGHT(A15,4)+1</f>
        <v>2027–2028</v>
      </c>
      <c r="B16" s="55">
        <v>334180.62</v>
      </c>
      <c r="C16" s="55">
        <v>9997.81</v>
      </c>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v>254929.6</v>
      </c>
      <c r="C17" s="55">
        <v>7606.0400000000009</v>
      </c>
      <c r="D17" s="197"/>
      <c r="E17" s="197"/>
      <c r="F17" s="197"/>
      <c r="G17" s="31"/>
      <c r="H17" s="31"/>
      <c r="I17" s="31"/>
      <c r="J17" s="31"/>
      <c r="K17" s="31"/>
    </row>
    <row r="18" spans="1:13" ht="15" customHeight="1" x14ac:dyDescent="0.25">
      <c r="A18" s="51" t="str">
        <f>LEFT(A17,4)+1&amp;"–"&amp;RIGHT(A17,4)+5</f>
        <v>2029–2034</v>
      </c>
      <c r="B18" s="55">
        <v>706837.07000000007</v>
      </c>
      <c r="C18" s="55">
        <v>9383.5300000000007</v>
      </c>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t="s">
        <v>124</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3340</v>
      </c>
      <c r="C40" s="206"/>
      <c r="E40" s="32"/>
    </row>
    <row r="41" spans="1:13" ht="15.75" x14ac:dyDescent="0.25">
      <c r="A41" s="5" t="s">
        <v>191</v>
      </c>
      <c r="B41" s="204" t="str">
        <f>B10</f>
        <v>California Conservation Corps</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3340</v>
      </c>
      <c r="C71" s="206"/>
    </row>
    <row r="72" spans="1:13" ht="15.75" x14ac:dyDescent="0.25">
      <c r="A72" s="5" t="s">
        <v>191</v>
      </c>
      <c r="B72" s="204" t="str">
        <f>B10</f>
        <v>California Conservation Corps</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topLeftCell="D1" zoomScale="80" zoomScaleNormal="80" workbookViewId="0">
      <selection activeCell="N10" sqref="N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3340 - California Conservation Corps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Entries'!$K$23,0)+'LS-Fund 0318 Journal Entries'!K23+'LS-Fund 3228 Journal Entries'!K23</f>
        <v>5995337</v>
      </c>
      <c r="G10" s="58"/>
      <c r="H10" s="61">
        <f>IF('LS-Fund 0001 Journal Entries'!$F$8="Governmental Fund",SUM('LS-Fund 0001 Journal Entries'!$K$48,'LS-Fund 0001 Journal Entries'!K113),0)+'LS-Fund 0318 Journal Entries'!K113</f>
        <v>1280205</v>
      </c>
      <c r="I10" s="58"/>
      <c r="J10" s="61">
        <f>IF('LS-Fund 0001 Journal Entries'!$F$8="Governmental Fund",SUM('LS-Fund 0001 Journal Entries'!$J$68,'LS-Fund 0001 Journal Entries'!J96),0)+'LS-Fund 0318 Journal Entries'!K69+'LS-Fund 3228 Journal Entries'!K69</f>
        <v>1663282</v>
      </c>
      <c r="K10" s="58"/>
      <c r="L10" s="63">
        <f>SUM(F10+H10-J10)</f>
        <v>5612260</v>
      </c>
      <c r="M10" s="58"/>
      <c r="N10" s="61">
        <f>IF('LS-Fund 0001 Journal Entries'!$F$8="Governmental Fund",'LS-Fund 0001 Journal Entries'!$K$76,0)+'LS-Fund 0318 Journal Entries'!K76+'LS-Fund 3228 Journal Entries'!K76-'LS-Fund 0001 Journal Entries'!K103-'LS-Fund 0318 Journal Entries'!K103-'LS-Fund 3228 Journal Entries'!K103</f>
        <v>1752216</v>
      </c>
      <c r="O10" s="58"/>
      <c r="P10" s="63">
        <f>L10-N10</f>
        <v>3860044</v>
      </c>
      <c r="Q10" s="43"/>
    </row>
    <row r="11" spans="2:17" ht="19.5" thickTop="1" thickBot="1" x14ac:dyDescent="0.3">
      <c r="B11" s="41"/>
      <c r="C11" s="45" t="s">
        <v>18</v>
      </c>
      <c r="F11" s="62">
        <f>SUM(F10:F10)</f>
        <v>5995337</v>
      </c>
      <c r="G11" s="58"/>
      <c r="H11" s="62">
        <f>SUM(H10:H10)</f>
        <v>1280205</v>
      </c>
      <c r="I11" s="58"/>
      <c r="J11" s="62">
        <f>SUM(J10:J10)</f>
        <v>1663282</v>
      </c>
      <c r="K11" s="58"/>
      <c r="L11" s="62">
        <f>SUM(L10:L10)</f>
        <v>5612260</v>
      </c>
      <c r="M11" s="58"/>
      <c r="N11" s="62">
        <f>SUM(N10:N10)</f>
        <v>1752216</v>
      </c>
      <c r="O11" s="58"/>
      <c r="P11" s="62">
        <f>SUM(P10:P10)</f>
        <v>3860044</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J16" sqref="J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Entries'!$K$23,0)+'LS-Fund 0318 Journal Entries'!N23+'LS-Fund 3228 Journal Entries'!N23</f>
        <v>5995337</v>
      </c>
      <c r="C16" s="116" t="s">
        <v>145</v>
      </c>
      <c r="D16" s="84">
        <f>IF('LS-Fund 0001 Journal Entries'!$F$8="Governmental Fund",'LS-Fund 0001 Journal Entries'!$K$48,0)</f>
        <v>0</v>
      </c>
      <c r="E16" s="118" t="s">
        <v>146</v>
      </c>
      <c r="F16" s="84">
        <f>IF('LS-Fund 0001 Journal Entries'!$F$8="Governmental Fund",'LS-Fund 0001 Journal Entries'!$J$68,0)+'LS-Fund 0318 Journal Entries'!J68+'LS-Fund 3228 Journal Entries'!J68</f>
        <v>1663282</v>
      </c>
      <c r="G16" s="117" t="s">
        <v>146</v>
      </c>
      <c r="H16" s="84">
        <f>IF('LS-Fund 0001 Journal Entries'!$F$8="Governmental Fund",'LS-Fund 0001 Journal Entries'!$J$96,0)</f>
        <v>0</v>
      </c>
      <c r="I16" s="117" t="s">
        <v>145</v>
      </c>
      <c r="J16" s="84">
        <f>IF('LS-Fund 0001 Journal Entries'!$F$8="Governmental Fund",'LS-Fund 0001 Journal Entries'!$K$113,0)+'LS-Fund 0318 Journal Entries'!K113+'LS-Fund 3228 Journal Entries'!K113</f>
        <v>1280205</v>
      </c>
      <c r="K16" s="118" t="s">
        <v>149</v>
      </c>
      <c r="L16" s="87">
        <f>+B16+D16-F16-H16+J16</f>
        <v>5612260</v>
      </c>
      <c r="M16" s="86"/>
      <c r="N16" s="88">
        <f>SUM('LS-Department Note Disclosure'!B13:B36)</f>
        <v>5612259.6200000001</v>
      </c>
      <c r="O16" s="85"/>
      <c r="P16" s="89">
        <f>L16-N16</f>
        <v>0.37999999988824129</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Entries'!$K$76,0)+'LS-Fund 3228 Journal Entries'!K76+'LS-Fund 0318 Journal Entries'!K76-'LS-Fund 0001 Journal Entries'!K103-'LS-Fund 0318 Journal Entries'!K103-'LS-Fund 3228 Journal Entries'!K103</f>
        <v>1752216</v>
      </c>
      <c r="C42" s="92"/>
      <c r="E42" s="92"/>
      <c r="G42" s="115"/>
      <c r="H42" s="115"/>
      <c r="I42" s="115"/>
      <c r="J42" s="115"/>
      <c r="K42" s="92"/>
      <c r="L42" s="92"/>
      <c r="M42" s="93"/>
      <c r="N42" s="88">
        <f>'LS-Department Note Disclosure'!B13</f>
        <v>1752215.87</v>
      </c>
      <c r="O42" s="94"/>
      <c r="P42" s="89">
        <f>B42-N42</f>
        <v>0.12999999988824129</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5995337</v>
      </c>
      <c r="J66" s="97">
        <f>SUM(D66)</f>
        <v>5995337</v>
      </c>
      <c r="L66" s="98" t="str">
        <f>CONCATENATE("Balance July 1, ",LEFT('LS-Department Note Disclosure'!$B$8,4))</f>
        <v>Balance July 1, 2023</v>
      </c>
      <c r="N66" s="97">
        <f>'LS-Lease Liabilities'!F10</f>
        <v>5995337</v>
      </c>
      <c r="P66" s="89">
        <f>J66-N66</f>
        <v>0</v>
      </c>
    </row>
    <row r="67" spans="1:17" x14ac:dyDescent="0.25">
      <c r="B67" s="79" t="s">
        <v>156</v>
      </c>
      <c r="D67" s="97">
        <f>$D$16</f>
        <v>0</v>
      </c>
      <c r="E67" s="119" t="s">
        <v>145</v>
      </c>
      <c r="F67" s="79" t="s">
        <v>1681</v>
      </c>
      <c r="H67" s="97">
        <f>$J$16</f>
        <v>1280205</v>
      </c>
      <c r="J67" s="97">
        <f>SUM(D67,H67)</f>
        <v>1280205</v>
      </c>
      <c r="L67" s="98" t="s">
        <v>12</v>
      </c>
      <c r="N67" s="97">
        <f>'LS-Lease Liabilities'!H10</f>
        <v>1280205</v>
      </c>
      <c r="P67" s="89">
        <f t="shared" ref="P67:P69" si="0">J67-N67</f>
        <v>0</v>
      </c>
    </row>
    <row r="68" spans="1:17" x14ac:dyDescent="0.25">
      <c r="B68" s="79" t="s">
        <v>151</v>
      </c>
      <c r="D68" s="97">
        <f>$F$16</f>
        <v>1663282</v>
      </c>
      <c r="E68" s="119" t="s">
        <v>145</v>
      </c>
      <c r="F68" s="79" t="s">
        <v>1678</v>
      </c>
      <c r="H68" s="97">
        <f>$H$16</f>
        <v>0</v>
      </c>
      <c r="J68" s="97">
        <f>SUM(D68,H68)</f>
        <v>1663282</v>
      </c>
      <c r="L68" s="98" t="s">
        <v>13</v>
      </c>
      <c r="N68" s="97">
        <f>'LS-Lease Liabilities'!J10</f>
        <v>1663282</v>
      </c>
      <c r="P68" s="89">
        <f t="shared" si="0"/>
        <v>0</v>
      </c>
    </row>
    <row r="69" spans="1:17" x14ac:dyDescent="0.25">
      <c r="B69" s="79" t="s">
        <v>155</v>
      </c>
      <c r="D69" s="97">
        <f>$B$42</f>
        <v>1752216</v>
      </c>
      <c r="J69" s="97">
        <f>SUM(D69)</f>
        <v>1752216</v>
      </c>
      <c r="L69" s="98" t="s">
        <v>14</v>
      </c>
      <c r="N69" s="97">
        <f>'LS-Lease Liabilities'!N10</f>
        <v>1752216</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Drop Down Menus</vt:lpstr>
      <vt:lpstr>qryIndex02a</vt:lpstr>
      <vt:lpstr>LS-Version Changes</vt:lpstr>
      <vt:lpstr>LS-Fund 0001 Journal Entries</vt:lpstr>
      <vt:lpstr>LS-Fund 0318 Journal Entries</vt:lpstr>
      <vt:lpstr>LS-Fund 3228 Journal Entries</vt:lpstr>
      <vt:lpstr>LS-Department Note Disclosure</vt:lpstr>
      <vt:lpstr>LS-Lease Liabilities</vt:lpstr>
      <vt:lpstr>LS-Check Figures  </vt:lpstr>
      <vt:lpstr>'LS-Department Note Disclosure'!Print_Area</vt:lpstr>
      <vt:lpstr>'LS-Fund 0001 Journal Entries'!Print_Area</vt:lpstr>
      <vt:lpstr>'LS-Fund 0318 Journal Entries'!Print_Area</vt:lpstr>
      <vt:lpstr>'LS-Fund 3228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Lee, Jennifer@CCC</cp:lastModifiedBy>
  <cp:lastPrinted>2024-09-14T00:58:00Z</cp:lastPrinted>
  <dcterms:created xsi:type="dcterms:W3CDTF">2023-03-08T17:19:33Z</dcterms:created>
  <dcterms:modified xsi:type="dcterms:W3CDTF">2025-01-27T22:02:47Z</dcterms:modified>
</cp:coreProperties>
</file>