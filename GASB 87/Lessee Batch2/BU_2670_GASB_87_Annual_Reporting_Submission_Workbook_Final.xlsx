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8_{FBF3BC81-44BC-41E7-855B-51EB745A68F7}" xr6:coauthVersionLast="47" xr6:coauthVersionMax="47" xr10:uidLastSave="{00000000-0000-0000-0000-000000000000}"/>
  <bookViews>
    <workbookView xWindow="28680" yWindow="-1530" windowWidth="290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0290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0290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<sst xmlns="http://schemas.openxmlformats.org/spreadsheetml/2006/main" count="7720" uniqueCount="1716">
  <si>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</si>
  <si>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</si>
  <si>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</si>
  <si>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</si>
  <si>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</si>
  <si>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</si>
  <si>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</si>
  <si>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</si>
  <si>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</si>
  <si>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</si>
  <si>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</si>
  <si>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</si>
  <si>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</si>
  <si>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</si>
  <si>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</si>
  <si>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</si>
  <si>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</si>
  <si>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</si>
  <si>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</si>
  <si>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</si>
  <si>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</si>
  <si>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</si>
  <si>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</si>
  <si>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</si>
  <si>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</si>
  <si>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</si>
  <si>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</si>
  <si>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</si>
  <si>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</si>
  <si>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</si>
  <si>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</si>
  <si>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</si>
  <si>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</si>
  <si>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</si>
  <si>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</si>
  <si>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</si>
  <si>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</si>
  <si>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</si>
  <si>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</si>
  <si>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</si>
  <si>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</si>
  <si>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</si>
  <si>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</si>
  <si>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</si>
  <si>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</si>
  <si>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</si>
  <si>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</si>
  <si>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</si>
  <si>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</si>
  <si>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</si>
  <si>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</si>
  <si>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</si>
  <si>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</si>
  <si>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</si>
  <si>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</si>
  <si>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</si>
  <si>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</si>
  <si>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</si>
  <si>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</si>
  <si>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</si>
  <si>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</si>
  <si>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</si>
  <si>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</si>
  <si>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</si>
  <si>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</si>
  <si>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</si>
  <si>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</si>
  <si>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</si>
  <si>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</si>
  <si>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</si>
  <si>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</si>
  <si>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</si>
  <si>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</si>
  <si>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</si>
  <si>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</si>
  <si>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</si>
  <si>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</si>
  <si>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</si>
  <si>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</si>
  <si>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</si>
  <si>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</si>
  <si>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</si>
  <si>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</si>
  <si>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</si>
  <si>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</si>
  <si>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</si>
  <si>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</si>
  <si>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</si>
  <si>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</si>
  <si>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</si>
  <si>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</si>
  <si>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</si>
  <si>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</si>
  <si>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</si>
  <si>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</si>
  <si>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</si>
  <si>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</si>
  <si>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</si>
  <si>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</si>
  <si>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</si>
  <si>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</si>
  <si>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</si>
  <si>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</si>
  <si>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</si>
  <si>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</si>
  <si>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</si>
  <si>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</si>
  <si>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</si>
  <si>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</si>
  <si>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</si>
  <si>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</si>
  <si>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</si>
  <si>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</si>
  <si>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</si>
  <si>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</si>
  <si>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</si>
  <si>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</si>
  <si>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</si>
  <si>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</si>
  <si>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</si>
  <si>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</si>
  <si>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</si>
  <si>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</si>
  <si>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</si>
  <si>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</si>
  <si>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</si>
  <si>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</si>
  <si>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</si>
  <si>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</si>
  <si>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</si>
  <si>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</si>
  <si>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</si>
  <si>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</si>
  <si>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</si>
  <si>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</si>
  <si>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</si>
  <si>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</si>
  <si>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</si>
  <si>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</si>
  <si>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</si>
  <si>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</si>
  <si>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</si>
  <si>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</si>
  <si>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</si>
  <si>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</si>
  <si>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</si>
  <si>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</si>
  <si>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</si>
  <si>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</si>
  <si>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</si>
  <si>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</si>
  <si>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</si>
  <si>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</si>
  <si>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</si>
  <si>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</si>
  <si>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</si>
  <si>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</si>
  <si>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</si>
  <si>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</si>
  <si>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</si>
  <si>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</si>
  <si>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</si>
  <si>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</si>
  <si>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</si>
  <si>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</si>
  <si>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</si>
  <si>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</si>
  <si>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</si>
  <si>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</si>
  <si>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</si>
  <si>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</si>
  <si>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</si>
  <si>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</si>
  <si>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</si>
  <si>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</si>
  <si>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</si>
  <si>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</si>
  <si>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</si>
  <si>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</si>
  <si>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</si>
  <si>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</si>
  <si>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</si>
  <si>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</si>
  <si>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</si>
  <si>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</si>
  <si>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</si>
  <si>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</si>
  <si>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</si>
  <si>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</si>
  <si>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</si>
  <si>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</si>
  <si>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</si>
  <si>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</si>
  <si>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</si>
  <si>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</si>
  <si>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</si>
  <si>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</si>
  <si>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</si>
  <si>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</si>
  <si>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</si>
  <si>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</si>
  <si>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</si>
  <si>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</si>
  <si>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</si>
  <si>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</si>
  <si>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</si>
  <si>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</si>
  <si>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</si>
  <si>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</si>
  <si>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</si>
  <si>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</si>
  <si>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</si>
  <si>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</si>
  <si>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</si>
  <si>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</si>
  <si>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</si>
  <si>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</si>
  <si>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</si>
  <si>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</si>
  <si>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</si>
  <si>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</si>
  <si>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</si>
  <si>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</si>
  <si>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</si>
  <si>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</si>
  <si>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</si>
  <si>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</si>
  <si>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</si>
  <si>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</si>
  <si>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</si>
  <si>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</si>
  <si>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</si>
  <si>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</si>
  <si>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</si>
  <si>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</si>
  <si>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</si>
  <si>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</si>
  <si>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</si>
  <si>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</si>
  <si>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</si>
  <si>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</si>
  <si>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</si>
  <si>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</si>
  <si>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</si>
  <si>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</si>
  <si>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</si>
  <si>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</si>
  <si>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</si>
  <si>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</si>
  <si>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</si>
  <si>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</si>
  <si>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</si>
  <si>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</si>
  <si>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</si>
  <si>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</si>
  <si>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</si>
  <si>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</si>
  <si>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</si>
  <si>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</si>
  <si>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</si>
  <si>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</si>
  <si>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</si>
  <si>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</si>
  <si>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</si>
  <si>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</si>
  <si>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</si>
  <si>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</si>
  <si>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</si>
  <si>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</si>
  <si>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</si>
  <si>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</si>
  <si>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</si>
  <si>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</si>
  <si>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</si>
  <si>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</si>
  <si>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</si>
  <si>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</si>
  <si>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</si>
  <si>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</si>
  <si>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</si>
  <si>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</si>
  <si>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</si>
  <si>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</si>
  <si>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</si>
  <si>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</si>
  <si>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</si>
  <si>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</si>
  <si>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</si>
  <si>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</si>
  <si>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</si>
  <si>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</si>
  <si>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</si>
  <si>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</si>
  <si>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</si>
  <si>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</si>
  <si>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</si>
  <si>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</si>
  <si>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</si>
  <si>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</si>
  <si>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</si>
  <si>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</si>
  <si>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</si>
  <si>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</si>
  <si>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</si>
  <si>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</si>
  <si>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</si>
  <si>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</si>
  <si>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</si>
  <si>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</si>
  <si>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</si>
  <si>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</si>
  <si>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</si>
  <si>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</si>
  <si>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</si>
  <si>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</si>
  <si>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</si>
  <si>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</si>
  <si>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</si>
  <si>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</si>
  <si>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</si>
  <si>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</si>
  <si>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</si>
  <si>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</si>
  <si>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</si>
  <si>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</si>
  <si>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</si>
  <si>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</si>
  <si>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</si>
  <si>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</si>
  <si>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</si>
  <si>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</si>
  <si>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</si>
  <si>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</si>
  <si>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</si>
  <si>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</si>
  <si>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</si>
  <si>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</si>
  <si>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</si>
  <si>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</si>
  <si>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</si>
  <si>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</si>
  <si>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</si>
  <si>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</si>
  <si>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</si>
  <si>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</si>
  <si>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</si>
  <si>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</si>
  <si>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</si>
  <si>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</si>
  <si>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</si>
  <si>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</si>
  <si>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</si>
  <si>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</si>
  <si>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</si>
  <si>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</si>
  <si>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</si>
  <si>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</si>
  <si>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</si>
  <si>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</si>
  <si>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</si>
  <si>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</si>
  <si>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</si>
  <si>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</si>
  <si>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</si>
  <si>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</si>
  <si>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</si>
  <si>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</si>
  <si>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</si>
  <si>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</si>
  <si>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</si>
  <si>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</si>
  <si>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</si>
  <si>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</si>
  <si>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</si>
  <si>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</si>
  <si>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</si>
  <si>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</si>
  <si>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</si>
  <si>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</si>
  <si>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</si>
  <si>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</si>
  <si>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</si>
  <si>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</si>
  <si>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</si>
  <si>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</si>
  <si>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</si>
  <si>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</si>
  <si>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</si>
  <si>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</si>
  <si>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</si>
  <si>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</si>
  <si>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</si>
  <si>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</si>
  <si>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</si>
  <si>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</si>
  <si>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</si>
  <si>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</si>
  <si>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</si>
  <si>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</si>
  <si>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</si>
  <si>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</si>
  <si>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</si>
  <si>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</si>
  <si>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</si>
  <si>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</si>
  <si>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</si>
  <si>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</si>
  <si>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</si>
  <si>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</si>
  <si>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</si>
  <si>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</si>
  <si>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</si>
  <si>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</si>
  <si>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</si>
  <si>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</si>
  <si>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</si>
  <si>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</si>
  <si>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</si>
  <si>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</si>
  <si>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</si>
  <si>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</si>
  <si>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</si>
  <si>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</si>
  <si>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</si>
  <si>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</si>
  <si>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</si>
  <si>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</si>
  <si>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</si>
  <si>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</si>
  <si>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</si>
  <si>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</si>
  <si>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</si>
  <si>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</si>
  <si>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</si>
  <si>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</si>
  <si>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</si>
  <si>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</si>
  <si>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</si>
  <si>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</si>
  <si>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</si>
  <si>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</si>
  <si>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</si>
  <si>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</si>
  <si>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</si>
  <si>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</si>
  <si>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</si>
  <si>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</si>
  <si>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</si>
  <si>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</si>
  <si>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</si>
  <si>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</si>
  <si>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</si>
  <si>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</si>
  <si>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</si>
  <si>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</si>
  <si>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</si>
  <si>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</si>
  <si>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</si>
  <si>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</si>
  <si>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</si>
  <si>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</si>
  <si>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</si>
  <si>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</si>
  <si>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</si>
  <si>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</si>
  <si>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</si>
  <si>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</si>
  <si>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</si>
  <si>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</si>
  <si>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</si>
  <si>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</si>
  <si>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</si>
  <si>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</si>
  <si>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</si>
  <si>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</si>
  <si>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</si>
  <si>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</si>
  <si>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</si>
  <si>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</si>
  <si>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</si>
  <si>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</si>
  <si>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</si>
  <si>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</si>
  <si>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</si>
  <si>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</si>
  <si>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</si>
  <si>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</si>
  <si>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</si>
  <si>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</si>
  <si>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</si>
  <si>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</si>
  <si>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</si>
  <si>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</si>
  <si>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</si>
  <si>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</si>
  <si>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</si>
  <si>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</si>
  <si>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</si>
  <si>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</si>
  <si>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</si>
  <si>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</si>
  <si>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</si>
  <si>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</si>
  <si>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</si>
  <si>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</si>
  <si>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</si>
  <si>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</si>
  <si>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</si>
  <si>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</si>
  <si>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</si>
  <si>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</si>
  <si>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</si>
  <si>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</si>
  <si>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</si>
  <si>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</si>
  <si>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</si>
  <si>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</si>
  <si>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</si>
  <si>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</si>
  <si>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</si>
  <si>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</si>
  <si>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</si>
  <si>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</si>
  <si>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</si>
  <si>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</si>
  <si>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</si>
  <si>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</si>
  <si>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</si>
  <si>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</si>
  <si>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</si>
  <si>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</si>
  <si>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</si>
  <si>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</si>
  <si>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</si>
  <si>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</si>
  <si>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</si>
  <si>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</si>
  <si>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</si>
  <si>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</si>
  <si>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</si>
  <si>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</si>
  <si>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</si>
  <si>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</si>
  <si>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</si>
  <si>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</si>
  <si>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</si>
  <si>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</si>
  <si>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</si>
  <si>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</si>
  <si>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</si>
  <si>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</si>
  <si>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</si>
  <si>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</si>
  <si>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</si>
  <si>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</si>
  <si>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</si>
  <si>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</si>
  <si>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</si>
  <si>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</si>
  <si>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</si>
  <si>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</si>
  <si>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</si>
  <si>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</si>
  <si>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</si>
  <si>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</si>
  <si>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</si>
  <si>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</si>
  <si>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</si>
  <si>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</si>
  <si>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</si>
  <si>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</si>
  <si>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</si>
  <si>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</si>
  <si>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</si>
  <si>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</si>
  <si>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</si>
  <si>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</si>
  <si>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</si>
  <si>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</si>
  <si>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</si>
  <si>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</si>
  <si>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</si>
  <si>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</si>
  <si>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</si>
  <si>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</si>
  <si>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</si>
  <si>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</si>
  <si>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</si>
  <si>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</si>
  <si>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</si>
  <si>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</si>
  <si>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</si>
  <si>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</si>
  <si>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</si>
  <si>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</si>
  <si>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</si>
  <si>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</si>
  <si>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</si>
  <si>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</si>
  <si>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</si>
  <si>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</si>
  <si>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</si>
  <si>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</si>
  <si>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</si>
  <si>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</si>
  <si>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</si>
  <si>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</si>
  <si>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</si>
  <si>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</si>
  <si>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</si>
  <si>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</si>
  <si>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</si>
  <si>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</si>
  <si>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</si>
  <si>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</si>
  <si>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</si>
  <si>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</si>
  <si>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</si>
  <si>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</si>
  <si>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</si>
  <si>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</si>
  <si>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</si>
  <si>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</si>
  <si>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</si>
  <si>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</si>
  <si>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</si>
  <si>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</si>
  <si>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</si>
  <si>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</si>
  <si>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</si>
  <si>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</si>
  <si>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</si>
  <si>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</si>
  <si>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</si>
  <si>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</si>
  <si>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</si>
  <si>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</si>
  <si>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</si>
  <si>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</si>
  <si>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</si>
  <si>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</si>
  <si>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</si>
  <si>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</si>
  <si>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</si>
  <si>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</si>
  <si>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</si>
  <si>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</si>
  <si>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</si>
  <si>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</si>
  <si>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</si>
  <si>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</si>
  <si>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</si>
  <si>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</si>
  <si>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</si>
  <si>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</si>
  <si>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</si>
  <si>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</si>
  <si>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</si>
  <si>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</si>
  <si>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</si>
  <si>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</si>
  <si>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</si>
  <si>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</si>
  <si>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</si>
  <si>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</si>
  <si>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</si>
  <si>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</si>
  <si>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</si>
  <si>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</si>
  <si>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</si>
  <si>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</si>
  <si>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</si>
  <si>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</si>
  <si>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</si>
  <si>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</si>
  <si>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</si>
  <si>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</si>
  <si>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</si>
  <si>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</si>
  <si>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</si>
  <si>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</si>
  <si>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</si>
  <si>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</si>
  <si>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</si>
  <si>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</si>
  <si>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</si>
  <si>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</si>
  <si>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</si>
  <si>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</si>
  <si>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</si>
  <si>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</si>
  <si>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</si>
  <si>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</si>
  <si>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</si>
  <si>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</si>
  <si>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</si>
  <si>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</si>
  <si>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</si>
  <si>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</si>
  <si>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</si>
  <si>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</si>
  <si>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</si>
  <si>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</si>
  <si>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</si>
  <si>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</si>
  <si>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</si>
  <si>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</si>
  <si>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</si>
  <si>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</si>
  <si>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</si>
  <si>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</si>
  <si>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</si>
  <si>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</si>
  <si>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</si>
  <si>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</si>
  <si>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</si>
  <si>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</si>
  <si>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</si>
  <si>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</si>
  <si>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</si>
  <si>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</si>
  <si>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</si>
  <si>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</si>
  <si>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</si>
  <si>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</si>
  <si>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</si>
  <si>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</si>
  <si>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</si>
  <si>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</si>
  <si>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</si>
  <si>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</si>
  <si>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</si>
  <si>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</si>
  <si>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</si>
  <si>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</si>
  <si>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</si>
  <si>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</si>
  <si>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</si>
  <si>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</si>
  <si>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</si>
  <si>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</si>
  <si>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</si>
  <si>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</si>
  <si>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</si>
  <si>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</si>
  <si>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</si>
  <si>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</si>
  <si>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</si>
  <si>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</si>
  <si>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</si>
  <si>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</si>
  <si>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</si>
  <si>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</si>
  <si>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</si>
  <si>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</si>
  <si>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</si>
  <si>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</si>
  <si>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</si>
  <si>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</si>
  <si>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</si>
  <si>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</si>
  <si>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</si>
  <si>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</si>
  <si>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</si>
  <si>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</si>
  <si>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</si>
  <si>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</si>
  <si>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</si>
  <si>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</si>
  <si>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</si>
  <si>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</si>
  <si>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</si>
  <si>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</si>
  <si>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</si>
  <si>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</si>
  <si>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</si>
  <si>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</si>
  <si>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</si>
  <si>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</si>
  <si>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</si>
  <si>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</si>
  <si>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</si>
  <si>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</si>
  <si>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</si>
  <si>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</si>
  <si>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</si>
  <si>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</si>
  <si>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</si>
  <si>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</si>
  <si>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</si>
  <si>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</si>
  <si>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</si>
  <si>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</si>
  <si>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</si>
  <si>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</si>
  <si>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</si>
  <si>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</si>
  <si>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</si>
  <si>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</si>
  <si>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</si>
  <si>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</si>
  <si>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</si>
  <si>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</si>
  <si>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</si>
  <si>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</si>
  <si>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</si>
  <si>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</si>
  <si>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</si>
  <si>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</si>
  <si>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</si>
  <si>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</si>
  <si>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</si>
  <si>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</si>
  <si>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</si>
  <si>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</si>
  <si>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</si>
  <si>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</si>
  <si>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</si>
  <si>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</si>
  <si>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</si>
  <si>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</si>
  <si>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</si>
  <si>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</si>
  <si>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</si>
  <si>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</si>
  <si>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</si>
  <si>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</si>
  <si>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</si>
  <si>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</si>
  <si>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</si>
  <si>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</si>
  <si>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</si>
  <si>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</si>
  <si>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</si>
  <si>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</si>
  <si>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</si>
  <si>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</si>
  <si>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</si>
  <si>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</si>
  <si>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</si>
  <si>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</si>
  <si>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</si>
  <si>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</si>
  <si>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</si>
  <si>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</si>
  <si>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</si>
  <si>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</si>
  <si>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</si>
  <si>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</si>
  <si>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</si>
  <si>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</si>
  <si>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</si>
  <si>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</si>
  <si>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</si>
  <si>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</si>
  <si>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</si>
  <si>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</si>
  <si>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</si>
  <si>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</si>
  <si>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</si>
  <si>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</si>
  <si>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</si>
  <si>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</si>
  <si>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</si>
  <si>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</si>
  <si>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</si>
  <si>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</si>
  <si>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</si>
  <si>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</si>
  <si>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</si>
  <si>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</si>
  <si>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</si>
  <si>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</si>
  <si>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</si>
  <si>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</si>
  <si>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</si>
  <si>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</si>
  <si>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</si>
  <si>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</si>
  <si>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</si>
  <si>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</si>
  <si>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</si>
  <si>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</si>
  <si>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</si>
  <si>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</si>
  <si>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</si>
  <si>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</si>
  <si>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</si>
  <si>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</si>
  <si>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</si>
  <si>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</si>
  <si>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</si>
  <si>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</si>
  <si>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</si>
  <si>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</si>
  <si>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</si>
  <si>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</si>
  <si>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</si>
  <si>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</si>
  <si>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</si>
  <si>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</si>
  <si>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</si>
  <si>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</si>
  <si>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</si>
  <si>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</si>
  <si>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</si>
  <si>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</si>
  <si>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</si>
  <si>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</si>
  <si>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</si>
  <si>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</si>
  <si>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</si>
  <si>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</si>
  <si>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</si>
  <si>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</si>
  <si>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</si>
  <si>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</si>
  <si>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</si>
  <si>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</si>
  <si>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</si>
  <si>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</si>
  <si>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</si>
  <si>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</si>
  <si>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</si>
  <si>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</si>
  <si>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</si>
  <si>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</si>
  <si>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</si>
  <si>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</si>
  <si>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</si>
  <si>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</si>
  <si>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</si>
  <si>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</si>
  <si>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</si>
  <si>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</si>
  <si>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</si>
  <si>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</si>
  <si>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</si>
  <si>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</si>
  <si>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</si>
  <si>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</si>
  <si>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</si>
  <si>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</si>
  <si>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</si>
  <si>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</si>
  <si>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</si>
  <si>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</si>
  <si>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</si>
  <si>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</si>
  <si>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</si>
  <si>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</si>
  <si>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</si>
  <si>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</si>
  <si>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</si>
  <si>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</si>
  <si>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</si>
  <si>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</si>
  <si>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</si>
  <si>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</si>
  <si>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</si>
  <si>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</si>
  <si>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</si>
  <si>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</si>
  <si>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</si>
  <si>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</si>
  <si>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</si>
  <si>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</si>
  <si>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</si>
  <si>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</si>
  <si>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</si>
  <si>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</si>
  <si>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</si>
  <si>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</si>
  <si>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</si>
  <si>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</si>
  <si>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</si>
  <si>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</si>
  <si>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</si>
  <si>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</si>
  <si>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</si>
  <si>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</si>
  <si>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</si>
  <si>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</si>
  <si>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</si>
  <si>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</si>
  <si>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</si>
  <si>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</si>
  <si>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</si>
  <si>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</si>
  <si>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</si>
  <si>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</si>
  <si>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</si>
  <si>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</si>
  <si>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</si>
  <si>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</si>
  <si>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</si>
  <si>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</si>
  <si>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</si>
  <si>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</si>
  <si>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</si>
  <si>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</si>
  <si>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</si>
  <si>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</si>
  <si>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</si>
  <si>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</si>
  <si>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</si>
  <si>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</si>
  <si>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</si>
  <si>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</si>
  <si>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</si>
  <si>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</si>
  <si>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</si>
  <si>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</si>
  <si>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</si>
  <si>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</si>
  <si>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</si>
  <si>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</si>
  <si>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</si>
  <si>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</si>
  <si>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</si>
  <si>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</si>
  <si>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</si>
  <si>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</si>
  <si>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</si>
  <si>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</si>
  <si>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</si>
  <si>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</si>
  <si>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</si>
  <si>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</si>
  <si>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</si>
  <si>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</si>
  <si>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</si>
  <si>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</si>
  <si>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</si>
  <si>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</si>
  <si>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</si>
  <si>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</si>
  <si>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</si>
  <si>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</si>
  <si>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</si>
  <si>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</si>
  <si>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</si>
  <si>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</si>
  <si>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</si>
  <si>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</si>
  <si>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</si>
  <si>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</si>
  <si>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</si>
  <si>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</si>
  <si>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</si>
  <si>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</si>
  <si>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</si>
  <si>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</si>
  <si>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</si>
  <si>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</si>
  <si>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</si>
  <si>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</si>
  <si>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</si>
  <si>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</si>
  <si>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</si>
  <si>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</si>
  <si>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</si>
  <si>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</si>
  <si>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</si>
  <si>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</si>
  <si>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</si>
  <si>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</si>
  <si>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</si>
  <si>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</si>
  <si>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</si>
  <si>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</si>
  <si>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</si>
  <si>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</si>
  <si>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</si>
  <si>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</si>
  <si>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</si>
  <si>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</si>
  <si>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</si>
  <si>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</si>
  <si>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</si>
  <si>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</si>
  <si>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</si>
  <si>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</si>
  <si>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</si>
  <si>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</si>
  <si>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</si>
  <si>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</si>
  <si>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</si>
  <si>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</si>
  <si>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</si>
  <si>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</si>
  <si>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</si>
  <si>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</si>
  <si>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</si>
  <si>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</si>
  <si>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</si>
  <si>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</si>
  <si>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</si>
  <si>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</si>
  <si>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</si>
  <si>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</si>
  <si>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</si>
  <si>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</si>
  <si>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</si>
  <si>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</si>
  <si>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</si>
  <si>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</si>
  <si>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</si>
  <si>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</si>
  <si>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</si>
  <si>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</si>
  <si>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</si>
  <si>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</si>
  <si>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</si>
  <si>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</si>
  <si>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</si>
  <si>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</si>
  <si>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</si>
  <si>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</si>
  <si>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</si>
  <si>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</si>
  <si>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</si>
  <si>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</si>
  <si>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</si>
  <si>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</si>
  <si>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</si>
  <si>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</si>
  <si>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</si>
  <si>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</si>
  <si>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</si>
  <si>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</si>
  <si>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</si>
  <si>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</si>
  <si>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</si>
  <si>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</si>
  <si>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</si>
  <si>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</si>
  <si>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</si>
  <si>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</si>
  <si>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</si>
  <si>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</si>
  <si>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</si>
  <si>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</si>
  <si>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</si>
  <si>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</si>
  <si>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</si>
  <si>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</si>
  <si>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</si>
  <si>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</si>
  <si>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</si>
  <si>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</si>
  <si>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</si>
  <si>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</si>
  <si>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</si>
  <si>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</si>
  <si>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</si>
  <si>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</si>
  <si>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</si>
  <si>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</si>
  <si>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</si>
  <si>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</si>
  <si>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</si>
  <si>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</si>
  <si>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</si>
  <si>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</si>
  <si>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</si>
  <si>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</si>
  <si>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</si>
  <si>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</si>
  <si>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</si>
  <si>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</si>
  <si>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</si>
  <si>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</si>
  <si>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</si>
  <si>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</si>
  <si>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</si>
  <si>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</si>
  <si>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</si>
  <si>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</si>
  <si>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</si>
  <si>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</si>
  <si>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</si>
  <si>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</si>
  <si>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</si>
  <si>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</si>
  <si>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</si>
  <si>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</si>
  <si>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</si>
  <si>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</si>
  <si>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</si>
  <si>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</si>
  <si>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</si>
  <si>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</si>
  <si>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</si>
  <si>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</si>
  <si>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</si>
  <si>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</si>
  <si>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</si>
  <si>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</si>
  <si>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</si>
  <si>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</si>
  <si>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</si>
  <si>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</si>
  <si>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</si>
  <si>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</si>
  <si>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</si>
  <si>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</si>
  <si>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</si>
  <si>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</si>
  <si>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</si>
  <si>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</si>
  <si>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</si>
  <si>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</si>
  <si>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</si>
  <si>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</si>
  <si>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</si>
  <si>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</si>
  <si>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</si>
  <si>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</si>
  <si>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</si>
  <si>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</si>
  <si>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</si>
  <si>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</si>
  <si>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</si>
  <si>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</si>
  <si>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</si>
  <si>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</si>
  <si>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</si>
  <si>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</si>
  <si>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</si>
  <si>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</si>
  <si>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</si>
  <si>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</si>
  <si>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</si>
  <si>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</si>
  <si>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</si>
  <si>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</si>
  <si>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</si>
  <si>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</si>
  <si>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</si>
  <si>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</si>
  <si>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</si>
  <si>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</si>
  <si>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</si>
  <si>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</si>
  <si>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</si>
  <si>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</si>
  <si>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</si>
  <si>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</si>
  <si>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</si>
  <si>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</si>
  <si>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</si>
  <si>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</si>
  <si>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</si>
  <si>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</si>
  <si>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</si>
  <si>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</si>
  <si>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</si>
  <si>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</si>
  <si>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</si>
  <si>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</si>
  <si>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</si>
  <si>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</si>
  <si>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</si>
  <si>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</si>
  <si>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</si>
  <si>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</si>
  <si>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</si>
  <si>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</si>
  <si>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</si>
  <si>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</si>
  <si>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</si>
  <si>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</si>
  <si>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</si>
  <si>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</si>
  <si>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</si>
  <si>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</si>
  <si>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</si>
  <si>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</si>
  <si>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</si>
  <si>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</si>
  <si>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</si>
  <si>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</si>
  <si>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</si>
  <si>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</si>
  <si>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</si>
  <si>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</si>
  <si>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</si>
  <si>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</si>
  <si>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</si>
  <si>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</si>
  <si>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</si>
  <si>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</si>
  <si>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</si>
  <si>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</si>
  <si>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</si>
  <si>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</si>
  <si>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</si>
  <si>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</si>
  <si>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</si>
  <si>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</si>
  <si>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</si>
  <si>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</si>
  <si>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</si>
  <si>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</si>
  <si>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</si>
  <si>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</si>
  <si>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</si>
  <si>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</si>
  <si>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</si>
  <si>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</si>
  <si>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</si>
  <si>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</si>
  <si>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</si>
  <si>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</si>
  <si>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</si>
  <si>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</si>
  <si>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</si>
  <si>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</si>
  <si>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</si>
  <si>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</si>
  <si>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</si>
  <si>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</si>
  <si>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</si>
  <si>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</si>
  <si>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</si>
  <si>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</si>
  <si>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</si>
  <si>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</si>
  <si>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</si>
  <si>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</si>
  <si>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</si>
  <si>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</si>
  <si>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</si>
  <si>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</si>
  <si>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</si>
  <si>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</si>
  <si>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</si>
  <si>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</si>
  <si>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</si>
  <si>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</si>
  <si>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</si>
  <si>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</si>
  <si>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</si>
  <si>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</si>
  <si>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</si>
  <si>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</si>
  <si>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</si>
  <si>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</si>
  <si>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</si>
  <si>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</si>
  <si>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</si>
  <si>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</si>
  <si>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</si>
  <si>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</si>
  <si>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</si>
  <si>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</si>
  <si>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</si>
  <si>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</si>
  <si>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</si>
  <si>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</si>
  <si>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</si>
  <si>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</si>
  <si>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</si>
  <si>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</si>
  <si>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</si>
  <si>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</si>
  <si>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</si>
  <si>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</si>
  <si>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</si>
  <si>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</si>
  <si>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</si>
  <si>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</si>
  <si>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</si>
  <si>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</si>
  <si>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</si>
  <si>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</si>
  <si>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</si>
  <si>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</si>
  <si>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</si>
  <si>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</si>
  <si>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</si>
  <si>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</si>
  <si>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</si>
  <si>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</si>
  <si>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</si>
  <si>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</si>
  <si>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</si>
  <si>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</si>
  <si>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</si>
  <si>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</si>
  <si>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</si>
  <si>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</si>
  <si>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</si>
  <si>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</si>
  <si>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</si>
  <si>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</si>
  <si>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</si>
  <si>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</si>
  <si>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</si>
  <si>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</si>
  <si>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</si>
  <si>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</si>
  <si>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</si>
  <si>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</si>
  <si>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</si>
  <si>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</si>
  <si>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</si>
  <si>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</si>
  <si>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</si>
  <si>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</si>
  <si>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</si>
  <si>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</si>
  <si>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</si>
  <si>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</si>
  <si>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</si>
  <si>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</si>
  <si>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</si>
  <si>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</si>
  <si>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</si>
  <si>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</si>
  <si>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</si>
  <si>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</si>
  <si>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</si>
  <si>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</si>
  <si>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</si>
  <si>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</si>
  <si>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</si>
  <si>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</si>
  <si>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</si>
  <si>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</si>
  <si>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</si>
  <si>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</si>
  <si>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</si>
  <si>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</si>
  <si>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</si>
  <si>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</si>
  <si>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</si>
  <si>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</si>
  <si>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</si>
  <si>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</si>
  <si>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</si>
  <si>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</si>
  <si>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</si>
  <si>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</si>
  <si>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</si>
  <si>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</si>
  <si>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</si>
  <si>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</si>
  <si>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</si>
  <si>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</si>
  <si>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</si>
  <si>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</si>
  <si>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</si>
  <si>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</si>
  <si>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</si>
  <si>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</si>
  <si>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</si>
  <si>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</si>
  <si>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</si>
  <si>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</si>
  <si>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</si>
  <si>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</si>
  <si>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</si>
  <si>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</si>
  <si>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</si>
  <si>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</si>
  <si>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</si>
  <si>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</si>
  <si>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</si>
  <si>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</si>
  <si>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</si>
  <si>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</si>
  <si>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</si>
  <si>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</si>
  <si>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</si>
  <si>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</si>
  <si>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</si>
  <si>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</si>
  <si>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</si>
  <si>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</si>
  <si>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</si>
  <si>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</si>
  <si>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</si>
  <si>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</si>
  <si>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</si>
  <si>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</si>
  <si>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</si>
  <si>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</si>
  <si>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</si>
  <si>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</si>
  <si>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</si>
  <si>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</si>
  <si>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</si>
  <si>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</si>
  <si>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</si>
  <si>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</si>
  <si>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</si>
  <si>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</si>
  <si>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</si>
  <si>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</si>
  <si>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</si>
  <si>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</si>
  <si>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</si>
  <si>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</si>
  <si>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</si>
  <si>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</si>
  <si>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</si>
  <si>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</si>
  <si>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</si>
  <si>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</si>
  <si>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</si>
  <si>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</si>
  <si>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</si>
  <si>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</si>
  <si>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</si>
  <si>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</si>
  <si>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</si>
  <si>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</si>
  <si>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</si>
  <si>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</si>
  <si>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</si>
  <si>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</si>
  <si>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</si>
  <si>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</si>
  <si>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</si>
  <si>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</si>
  <si>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</si>
  <si>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</si>
  <si>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</si>
  <si>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</si>
  <si>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</si>
  <si>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</si>
  <si>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</si>
  <si>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</si>
  <si>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</si>
  <si>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</si>
  <si>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</si>
  <si>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</si>
  <si>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</si>
  <si>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</si>
  <si>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</si>
  <si>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</si>
  <si>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</si>
  <si>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</si>
  <si>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</si>
  <si>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</si>
  <si>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</si>
  <si>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</si>
  <si>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</si>
  <si>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</si>
  <si>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</si>
  <si>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</si>
  <si>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</si>
  <si>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</si>
  <si>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</si>
  <si>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</si>
  <si>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</si>
  <si>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</si>
  <si>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</si>
  <si>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</si>
  <si>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</si>
  <si>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</si>
  <si>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</si>
  <si>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</si>
  <si>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</si>
  <si>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</si>
  <si>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</si>
  <si>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</si>
  <si>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</si>
  <si>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</si>
  <si>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</si>
  <si>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</si>
  <si>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</si>
  <si>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</si>
  <si>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</si>
  <si>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</si>
  <si>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</si>
  <si>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</si>
  <si>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</si>
  <si>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</si>
  <si>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</si>
  <si>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</si>
  <si>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</si>
  <si>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</si>
  <si>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</si>
  <si>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</si>
  <si>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</si>
  <si>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</si>
  <si>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</si>
  <si>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</si>
  <si>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</si>
  <si>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</si>
  <si>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</si>
  <si>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</si>
  <si>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</si>
  <si>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</si>
  <si>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</si>
  <si>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</si>
  <si>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</si>
  <si>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</si>
  <si>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</si>
  <si>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</si>
  <si>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</si>
  <si>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</si>
  <si>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</si>
  <si>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</si>
  <si>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</si>
  <si>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</si>
  <si>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</si>
  <si>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</si>
  <si>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</si>
  <si>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</si>
  <si>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</si>
  <si>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</si>
  <si>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</si>
  <si>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</si>
  <si>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</si>
  <si>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</si>
  <si>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</si>
  <si>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</si>
  <si>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</si>
  <si>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</si>
  <si>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</si>
  <si>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</si>
  <si>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</si>
  <si>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</si>
  <si>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</si>
  <si>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</si>
  <si>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</si>
  <si>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</si>
  <si>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</si>
  <si>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</si>
  <si>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</si>
  <si>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</si>
  <si>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</si>
  <si>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</si>
  <si>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</si>
  <si>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</si>
  <si>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</si>
  <si>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</si>
  <si>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</si>
  <si>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</si>
  <si>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</si>
  <si>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</si>
  <si>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</si>
  <si>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</si>
  <si>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</si>
  <si>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</si>
  <si>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</si>
  <si>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</si>
  <si>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</si>
  <si>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</si>
  <si>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</si>
  <si>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</si>
  <si>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</si>
  <si>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</si>
  <si>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</si>
  <si>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</si>
  <si>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</si>
  <si>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</si>
  <si>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</si>
  <si>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</si>
  <si>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</si>
  <si>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</si>
  <si>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</si>
  <si>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</si>
  <si>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</si>
  <si>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</si>
  <si>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</si>
  <si>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</si>
  <si>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</si>
  <si>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</si>
  <si>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</si>
  <si>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</si>
  <si>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</si>
  <si>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</si>
  <si>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</si>
  <si>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</si>
  <si>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</si>
  <si>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</si>
  <si>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</si>
  <si>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</si>
  <si>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</si>
  <si>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</si>
  <si>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</si>
  <si>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</si>
  <si>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</si>
  <si>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</si>
  <si>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</si>
  <si>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</si>
  <si>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</si>
  <si>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</si>
  <si>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</si>
  <si>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</si>
  <si>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</si>
  <si>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</si>
  <si>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</si>
  <si>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</si>
  <si>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</si>
  <si>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</si>
  <si>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</si>
  <si>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</si>
  <si>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</si>
  <si>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</si>
  <si>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</si>
  <si>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</si>
  <si>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</si>
  <si>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</si>
  <si>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</si>
  <si>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</si>
  <si>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</si>
  <si>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</si>
  <si>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</si>
  <si>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</si>
  <si>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Board of Pilot Commissioners' Special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</si>
</sst>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I14" sqref="I14"/>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70" zoomScaleNormal="70" workbookViewId="0">
      <selection activeCell="T37" sqref="T37"/>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1" t="s">
        <v>1629</v>
      </c>
      <c r="B1" s="191"/>
      <c r="C1" s="191"/>
      <c r="D1" s="191"/>
      <c r="E1" s="191"/>
      <c r="F1" s="191"/>
      <c r="G1" s="191"/>
      <c r="H1" s="191"/>
      <c r="I1" s="191"/>
      <c r="J1" s="191"/>
      <c r="K1" s="191"/>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92" t="s">
        <v>10</v>
      </c>
      <c r="B3" s="192"/>
      <c r="C3" s="192"/>
      <c r="D3" s="192"/>
      <c r="E3" s="192"/>
      <c r="F3" s="193" t="s">
        <v>21</v>
      </c>
      <c r="G3" s="193"/>
      <c r="H3" s="193"/>
      <c r="I3" s="193"/>
    </row>
    <row r="4" spans="1:20" ht="16.5" customHeight="1" x14ac:dyDescent="0.2">
      <c r="A4" s="192" t="s">
        <v>191</v>
      </c>
      <c r="B4" s="192"/>
      <c r="C4" s="192"/>
      <c r="D4" s="192"/>
      <c r="E4" s="192"/>
      <c r="F4" s="194" t="s">
        <v>1715</v>
      </c>
      <c r="G4" s="194"/>
      <c r="H4" s="194"/>
      <c r="I4" s="194"/>
    </row>
    <row r="5" spans="1:20" ht="16.5" customHeight="1" x14ac:dyDescent="0.2">
      <c r="A5" s="192" t="s">
        <v>1615</v>
      </c>
      <c r="B5" s="192"/>
      <c r="C5" s="192"/>
      <c r="D5" s="192"/>
      <c r="E5" s="192"/>
      <c r="F5" s="194" t="s">
        <v>680</v>
      </c>
      <c r="G5" s="194"/>
      <c r="H5" s="194"/>
      <c r="I5" s="194"/>
      <c r="L5" s="12"/>
      <c r="M5" s="12"/>
      <c r="N5" s="12"/>
      <c r="O5" s="12"/>
      <c r="P5" s="12"/>
      <c r="Q5" s="12"/>
    </row>
    <row r="6" spans="1:20" ht="16.5" customHeight="1" x14ac:dyDescent="0.25">
      <c r="A6" s="192" t="s">
        <v>1634</v>
      </c>
      <c r="B6" s="192"/>
      <c r="C6" s="192"/>
      <c r="D6" s="192"/>
      <c r="E6" s="192"/>
      <c r="F6" s="195">
        <v>290</v>
      </c>
      <c r="G6" s="195"/>
      <c r="H6" s="195"/>
      <c r="I6" s="195"/>
      <c r="L6" s="13"/>
      <c r="M6" s="13"/>
      <c r="N6" s="13"/>
      <c r="O6" s="13"/>
      <c r="P6" s="12"/>
      <c r="Q6" s="12"/>
    </row>
    <row r="7" spans="1:20" ht="16.5" customHeight="1" x14ac:dyDescent="0.25">
      <c r="A7" s="192" t="s">
        <v>1</v>
      </c>
      <c r="B7" s="192"/>
      <c r="C7" s="192"/>
      <c r="D7" s="192"/>
      <c r="E7" s="192"/>
      <c r="F7" s="195" t="s">
        <v>120</v>
      </c>
      <c r="G7" s="195"/>
      <c r="H7" s="195"/>
      <c r="I7" s="195"/>
      <c r="K7" s="53"/>
      <c r="L7" s="13"/>
      <c r="M7" s="13"/>
      <c r="N7" s="13"/>
      <c r="O7" s="13"/>
      <c r="P7" s="12"/>
      <c r="Q7" s="12"/>
    </row>
    <row r="8" spans="1:20" ht="16.5" customHeight="1" x14ac:dyDescent="0.25">
      <c r="A8" s="192" t="s">
        <v>1616</v>
      </c>
      <c r="B8" s="192"/>
      <c r="C8" s="192"/>
      <c r="D8" s="192"/>
      <c r="E8" s="192"/>
      <c r="F8" s="195" t="s">
        <v>154</v>
      </c>
      <c r="G8" s="195"/>
      <c r="H8" s="195"/>
      <c r="I8" s="195"/>
      <c r="K8" s="53"/>
      <c r="L8" s="13"/>
      <c r="M8" s="13"/>
      <c r="N8" s="13"/>
      <c r="O8" s="13"/>
      <c r="P8" s="12"/>
      <c r="Q8" s="12"/>
    </row>
    <row r="9" spans="1:20" ht="16.5" customHeight="1" x14ac:dyDescent="0.25">
      <c r="A9" s="192" t="s">
        <v>1614</v>
      </c>
      <c r="B9" s="192"/>
      <c r="C9" s="192"/>
      <c r="D9" s="192"/>
      <c r="E9" s="192"/>
      <c r="F9" s="196" t="str">
        <f>IFERROR(IF(F7="Proprietary","Proprietary Fund",VLOOKUP(F5,qryIndex02a!$A$2:$K$654,4,FALSE)),"Unidentified")</f>
        <v>TRANSPORTATION</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8" t="s">
        <v>1633</v>
      </c>
      <c r="N14" s="189"/>
      <c r="O14" s="135"/>
      <c r="P14" s="188" t="s">
        <v>1630</v>
      </c>
      <c r="Q14" s="189"/>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1773616</v>
      </c>
      <c r="M17" s="143">
        <v>1773616</v>
      </c>
      <c r="P17" s="143">
        <v>1773616</v>
      </c>
      <c r="Q17" s="155"/>
      <c r="S17" s="154">
        <f t="shared" si="0"/>
        <v>0</v>
      </c>
      <c r="T17" s="180" t="s">
        <v>1684</v>
      </c>
    </row>
    <row r="18" spans="1:20" ht="16.5" customHeight="1" x14ac:dyDescent="0.25">
      <c r="A18" s="54"/>
      <c r="B18" s="9" t="s">
        <v>168</v>
      </c>
      <c r="C18" s="9"/>
      <c r="D18" s="9"/>
      <c r="E18" s="140"/>
      <c r="F18" s="141"/>
      <c r="G18" s="141"/>
      <c r="H18" s="142"/>
      <c r="I18" s="142"/>
      <c r="J18" s="178">
        <f>P18</f>
        <v>32825</v>
      </c>
      <c r="M18" s="143"/>
      <c r="P18" s="152">
        <f>IF(SUM($Q$20:$Q$23)&gt;SUM($P$15:$P$17),SUM($Q$20:$Q$23)-SUM($P$15:$P$17),0)</f>
        <v>32825</v>
      </c>
      <c r="Q18" s="155"/>
      <c r="S18" s="154">
        <f t="shared" si="0"/>
        <v>32825</v>
      </c>
      <c r="T18" s="179" t="s">
        <v>1668</v>
      </c>
    </row>
    <row r="19" spans="1:20" ht="16.5" customHeight="1" x14ac:dyDescent="0.25">
      <c r="A19" s="54"/>
      <c r="B19" s="9" t="s">
        <v>169</v>
      </c>
      <c r="C19" s="9"/>
      <c r="D19" s="9"/>
      <c r="E19" s="140"/>
      <c r="F19" s="141"/>
      <c r="G19" s="141"/>
      <c r="H19" s="142"/>
      <c r="I19" s="142"/>
      <c r="J19" s="178">
        <f>IF(SUM($K$20:$K$24)&gt;SUM($J$15:$J$18),SUM($K$20:$K$24)-SUM($J$15:$J$18),0)</f>
        <v>1</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577035</v>
      </c>
      <c r="N22" s="143">
        <v>577035</v>
      </c>
      <c r="P22" s="155"/>
      <c r="Q22" s="143">
        <v>577035</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1229407</v>
      </c>
      <c r="N23" s="143">
        <v>1229407</v>
      </c>
      <c r="P23" s="155"/>
      <c r="Q23" s="143">
        <v>1229406</v>
      </c>
      <c r="S23" s="154">
        <f t="shared" si="1"/>
        <v>-1</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1806442</v>
      </c>
      <c r="K26" s="107">
        <f>SUM(K15:K25)</f>
        <v>1806442</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0830 - TRANSPORTATION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287180</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287180</v>
      </c>
    </row>
    <row r="59" spans="1:16" ht="16.5" customHeight="1" x14ac:dyDescent="0.25">
      <c r="A59" s="54"/>
      <c r="C59" s="16"/>
      <c r="D59" s="16"/>
      <c r="E59" s="16"/>
      <c r="F59" s="17"/>
      <c r="G59" s="17"/>
      <c r="H59" s="18"/>
      <c r="I59" s="18"/>
      <c r="J59" s="107">
        <f>SUM(J55:J58)</f>
        <v>287180</v>
      </c>
      <c r="K59" s="107">
        <f>SUM(K55:K58)</f>
        <v>287180</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280448</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2204</v>
      </c>
      <c r="K63" s="147"/>
    </row>
    <row r="64" spans="1:16" ht="16.5" customHeight="1" x14ac:dyDescent="0.25">
      <c r="A64" s="54"/>
      <c r="B64" s="9"/>
      <c r="C64" s="9" t="str">
        <f>IF($F$7="Proprietary","Cr: Acct 0870 - SERVICES &amp; CHARGES (MG ADJ)",VLOOKUP($F$9,'Drop Down Menus'!$F$2:$G$10,2,FALSE))</f>
        <v>Cr: Acct 0830 - TRANSPORTATION (GAAP ADJ)</v>
      </c>
      <c r="D64" s="140"/>
      <c r="E64" s="140"/>
      <c r="F64" s="141"/>
      <c r="G64" s="141"/>
      <c r="H64" s="142"/>
      <c r="I64" s="142"/>
      <c r="J64" s="147"/>
      <c r="K64" s="143">
        <v>282652</v>
      </c>
    </row>
    <row r="65" spans="1:12" ht="16.5" customHeight="1" x14ac:dyDescent="0.25">
      <c r="A65" s="54"/>
      <c r="C65" s="16"/>
      <c r="D65" s="16"/>
      <c r="E65" s="16"/>
      <c r="F65" s="17"/>
      <c r="G65" s="17"/>
      <c r="H65" s="18"/>
      <c r="I65" s="18"/>
      <c r="J65" s="107">
        <f>SUM(J62:J64)</f>
        <v>282652</v>
      </c>
      <c r="K65" s="107">
        <f>SUM(K62:K64)</f>
        <v>282652</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280448</v>
      </c>
      <c r="K68" s="144"/>
    </row>
    <row r="69" spans="1:12" ht="16.5" customHeight="1" x14ac:dyDescent="0.25">
      <c r="A69" s="54"/>
      <c r="B69" s="9"/>
      <c r="C69" s="9" t="s">
        <v>185</v>
      </c>
      <c r="D69" s="140"/>
      <c r="E69" s="140"/>
      <c r="F69" s="141"/>
      <c r="G69" s="141"/>
      <c r="H69" s="142"/>
      <c r="I69" s="142"/>
      <c r="J69" s="144"/>
      <c r="K69" s="143">
        <v>280448</v>
      </c>
      <c r="L69" s="10" t="str">
        <f>IF($J$62=$K$69,"","&lt;- Accts 0848 must agree")</f>
        <v/>
      </c>
    </row>
    <row r="70" spans="1:12" ht="16.5" customHeight="1" x14ac:dyDescent="0.25">
      <c r="A70" s="54"/>
      <c r="C70" s="16"/>
      <c r="D70" s="16"/>
      <c r="E70" s="16"/>
      <c r="F70" s="17"/>
      <c r="G70" s="17"/>
      <c r="H70" s="18"/>
      <c r="I70" s="18"/>
      <c r="J70" s="107">
        <f>SUM(J68:J69)</f>
        <v>280448</v>
      </c>
      <c r="K70" s="107">
        <f>SUM(K68:K69)</f>
        <v>280448</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289496</v>
      </c>
      <c r="K75" s="144"/>
    </row>
    <row r="76" spans="1:12" ht="16.5" customHeight="1" x14ac:dyDescent="0.25">
      <c r="A76" s="54"/>
      <c r="B76" s="9"/>
      <c r="C76" s="9" t="s">
        <v>193</v>
      </c>
      <c r="D76" s="140"/>
      <c r="E76" s="140"/>
      <c r="F76" s="141"/>
      <c r="G76" s="141"/>
      <c r="H76" s="142"/>
      <c r="I76" s="142"/>
      <c r="J76" s="144"/>
      <c r="K76" s="143">
        <v>289496</v>
      </c>
    </row>
    <row r="77" spans="1:12" ht="16.5" customHeight="1" x14ac:dyDescent="0.2">
      <c r="A77" s="54"/>
      <c r="B77" s="190" t="s">
        <v>1672</v>
      </c>
      <c r="C77" s="190"/>
      <c r="D77" s="190"/>
      <c r="E77" s="190"/>
      <c r="F77" s="190"/>
      <c r="G77" s="190"/>
      <c r="H77" s="190"/>
      <c r="I77" s="190"/>
      <c r="J77" s="107">
        <f>SUM(J75:J76)</f>
        <v>289496</v>
      </c>
      <c r="K77" s="107">
        <f>SUM(K75:K76)</f>
        <v>289496</v>
      </c>
      <c r="L77" s="25" t="str">
        <f>IF(J77=K77,"&lt;- Debits and Credits equal each other.","&lt;- Debits and Credits do not equal each other.")</f>
        <v>&lt;- Debits and Credits equal each other.</v>
      </c>
    </row>
    <row r="78" spans="1:12" ht="16.5" customHeight="1" x14ac:dyDescent="0.2">
      <c r="A78" s="54"/>
      <c r="B78" s="190"/>
      <c r="C78" s="190"/>
      <c r="D78" s="190"/>
      <c r="E78" s="190"/>
      <c r="F78" s="190"/>
      <c r="G78" s="190"/>
      <c r="H78" s="190"/>
      <c r="I78" s="190"/>
      <c r="J78" s="107"/>
      <c r="K78" s="107"/>
      <c r="L78" s="8"/>
    </row>
    <row r="79" spans="1:12" ht="24.6" customHeight="1" x14ac:dyDescent="0.2">
      <c r="A79" s="54"/>
      <c r="B79" s="190"/>
      <c r="C79" s="190"/>
      <c r="D79" s="190"/>
      <c r="E79" s="190"/>
      <c r="F79" s="190"/>
      <c r="G79" s="190"/>
      <c r="H79" s="190"/>
      <c r="I79" s="190"/>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0830 - TRANSPORTATION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0830 - TRANSPORTATION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1773616</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-864215</v>
      </c>
    </row>
    <row r="128" spans="1:12" ht="16.5" customHeight="1" x14ac:dyDescent="0.25">
      <c r="D128" s="140" t="s">
        <v>1656</v>
      </c>
      <c r="H128" s="10"/>
      <c r="K128" s="169">
        <f>-K23-K48+J68+J75+J96-K113</f>
        <v>-659463</v>
      </c>
    </row>
    <row r="129" spans="4:11" ht="16.5" customHeight="1" x14ac:dyDescent="0.25">
      <c r="D129" s="140" t="s">
        <v>1657</v>
      </c>
      <c r="H129" s="10"/>
      <c r="K129" s="169">
        <f>-K76</f>
        <v>-289496</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L12" sqref="L12"/>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2670</v>
      </c>
      <c r="C9" s="209"/>
      <c r="D9" s="3"/>
      <c r="E9" s="3"/>
      <c r="F9" s="3"/>
    </row>
    <row r="10" spans="1:13" ht="15.75" x14ac:dyDescent="0.25">
      <c r="A10" s="5" t="s">
        <v>191</v>
      </c>
      <c r="B10" s="210" t="s">
        <v>1715</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v>289496</v>
      </c>
      <c r="C13" s="55">
        <v>1635</v>
      </c>
      <c r="D13" s="202" t="s">
        <v>4</v>
      </c>
      <c r="E13" s="203"/>
      <c r="F13" s="203"/>
      <c r="G13" s="29"/>
      <c r="H13" s="29"/>
      <c r="I13" s="29"/>
      <c r="J13" s="29"/>
      <c r="K13" s="29"/>
      <c r="L13" s="29"/>
      <c r="M13" s="29"/>
    </row>
    <row r="14" spans="1:13" x14ac:dyDescent="0.2">
      <c r="A14" s="51" t="str">
        <f>LEFT(A13,4)+1&amp;"–"&amp;RIGHT(A13,4)+1</f>
        <v>2025–2026</v>
      </c>
      <c r="B14" s="55">
        <v>298818</v>
      </c>
      <c r="C14" s="55">
        <v>1047</v>
      </c>
      <c r="D14" s="202"/>
      <c r="E14" s="203"/>
      <c r="F14" s="203"/>
    </row>
    <row r="15" spans="1:13" ht="15.75" x14ac:dyDescent="0.2">
      <c r="A15" s="51" t="str">
        <f>LEFT(A14,4)+1&amp;"–"&amp;RIGHT(A14,4)+1</f>
        <v>2026–2027</v>
      </c>
      <c r="B15" s="55">
        <v>308420</v>
      </c>
      <c r="C15" s="55">
        <v>441</v>
      </c>
      <c r="D15" s="198" t="s">
        <v>124</v>
      </c>
      <c r="E15" s="198"/>
      <c r="F15" s="198"/>
      <c r="G15" s="30"/>
      <c r="H15" s="30"/>
      <c r="I15" s="30"/>
      <c r="J15" s="30"/>
      <c r="K15" s="30"/>
      <c r="L15" s="30"/>
      <c r="M15" s="30"/>
    </row>
    <row r="16" spans="1:13" x14ac:dyDescent="0.2">
      <c r="A16" s="51" t="str">
        <f>LEFT(A15,4)+1&amp;"–"&amp;RIGHT(A15,4)+1</f>
        <v>2027–2028</v>
      </c>
      <c r="B16" s="55">
        <v>52225</v>
      </c>
      <c r="C16" s="55">
        <v>13</v>
      </c>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c r="C17" s="55"/>
      <c r="D17" s="198"/>
      <c r="E17" s="198"/>
      <c r="F17" s="198"/>
      <c r="G17" s="31"/>
      <c r="H17" s="31"/>
      <c r="I17" s="31"/>
      <c r="J17" s="31"/>
      <c r="K17" s="31"/>
    </row>
    <row r="18" spans="1:13" ht="15" customHeight="1" x14ac:dyDescent="0.25">
      <c r="A18" s="51" t="str">
        <f>LEFT(A17,4)+1&amp;"–"&amp;RIGHT(A17,4)+5</f>
        <v>2029–2034</v>
      </c>
      <c r="B18" s="55"/>
      <c r="C18" s="55"/>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t="s">
        <v>124</v>
      </c>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t="s">
        <v>124</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2670</v>
      </c>
      <c r="C40" s="213"/>
      <c r="E40" s="32"/>
    </row>
    <row r="41" spans="1:13" ht="15.75" x14ac:dyDescent="0.25">
      <c r="A41" s="5" t="s">
        <v>191</v>
      </c>
      <c r="B41" s="197" t="str">
        <f>B10</f>
        <v>Board of Pilot Commissioners' Special Fund</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2670</v>
      </c>
      <c r="C71" s="213"/>
    </row>
    <row r="72" spans="1:13" ht="15.75" x14ac:dyDescent="0.25">
      <c r="A72" s="5" t="s">
        <v>191</v>
      </c>
      <c r="B72" s="197" t="str">
        <f>B10</f>
        <v>Board of Pilot Commissioners' Special Fund</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X23" sqref="X23"/>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0290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2670 - Board of Pilot Commissioners' Special Fund</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0290 Journal Entries'!$F$8="Governmental Fund",'LS-Fund 0290 Journal Entries'!$K$23,0)</f>
        <v>1229407</v>
      </c>
      <c r="G10" s="58"/>
      <c r="H10" s="61">
        <f>IF('LS-Fund 0290 Journal Entries'!$F$8="Governmental Fund",SUM('LS-Fund 0290 Journal Entries'!$K$48,'LS-Fund 0290 Journal Entries'!K113),0)</f>
        <v>0</v>
      </c>
      <c r="I10" s="58"/>
      <c r="J10" s="61">
        <f>IF('LS-Fund 0290 Journal Entries'!$F$8="Governmental Fund",SUM('LS-Fund 0290 Journal Entries'!$J$68,'LS-Fund 0290 Journal Entries'!J96),0)</f>
        <v>280448</v>
      </c>
      <c r="K10" s="58"/>
      <c r="L10" s="63">
        <f>SUM(F10+H10-J10)</f>
        <v>948959</v>
      </c>
      <c r="M10" s="58"/>
      <c r="N10" s="61">
        <f>IF('LS-Fund 0290 Journal Entries'!$F$8="Governmental Fund",'LS-Fund 0290 Journal Entries'!$K$76,0)</f>
        <v>289496</v>
      </c>
      <c r="O10" s="58"/>
      <c r="P10" s="63">
        <f>L10-N10</f>
        <v>659463</v>
      </c>
      <c r="Q10" s="43"/>
    </row>
    <row r="11" spans="2:17" ht="19.5" thickTop="1" thickBot="1" x14ac:dyDescent="0.3">
      <c r="B11" s="41"/>
      <c r="C11" s="45" t="s">
        <v>18</v>
      </c>
      <c r="F11" s="62">
        <f>SUM(F10:F10)</f>
        <v>1229407</v>
      </c>
      <c r="G11" s="58"/>
      <c r="H11" s="62">
        <f>SUM(H10:H10)</f>
        <v>0</v>
      </c>
      <c r="I11" s="58"/>
      <c r="J11" s="62">
        <f>SUM(J10:J10)</f>
        <v>280448</v>
      </c>
      <c r="K11" s="58"/>
      <c r="L11" s="62">
        <f>SUM(L10:L10)</f>
        <v>948959</v>
      </c>
      <c r="M11" s="58"/>
      <c r="N11" s="62">
        <f>SUM(N10:N10)</f>
        <v>289496</v>
      </c>
      <c r="O11" s="58"/>
      <c r="P11" s="62">
        <f>SUM(P10:P10)</f>
        <v>659463</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0290 Journal Entries'!$F$8="Proprietary - Internal Service Fund",'LS-Fund 0290 Journal Entries'!$K$23,0)</f>
        <v>0</v>
      </c>
      <c r="G14" s="58"/>
      <c r="H14" s="61">
        <f>IF('LS-Fund 0290 Journal Entries'!$F$8="Proprietary - Internal Service Fund",SUM('LS-Fund 0290 Journal Entries'!$K$48,'LS-Fund 0290 Journal Entries'!K113),0)</f>
        <v>0</v>
      </c>
      <c r="I14" s="58"/>
      <c r="J14" s="61">
        <f>IF('LS-Fund 0290 Journal Entries'!$F$8="Proprietary - Internal Service Fund",SUM('LS-Fund 0290 Journal Entries'!$J$68,'LS-Fund 0290 Journal Entries'!J96),0)</f>
        <v>0</v>
      </c>
      <c r="K14" s="58"/>
      <c r="L14" s="63">
        <f>SUM(F14+H14-J14)</f>
        <v>0</v>
      </c>
      <c r="M14" s="58"/>
      <c r="N14" s="61">
        <f>IF('LS-Fund 0290 Journal Entries'!$F$8="Proprietary - Internal Service Fund",'LS-Fund 0290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0290 Journal Entries'!$F$8="Proprietary - Enterprise Fund",'LS-Fund 0290 Journal Entries'!$K$23,0)</f>
        <v>0</v>
      </c>
      <c r="G18" s="58"/>
      <c r="H18" s="61">
        <f>IF('LS-Fund 0290 Journal Entries'!$F$8="Proprietary - Enterprise Fund",SUM('LS-Fund 0290 Journal Entries'!$K$48,'LS-Fund 0290 Journal Entries'!K113),0)</f>
        <v>0</v>
      </c>
      <c r="I18" s="58"/>
      <c r="J18" s="61">
        <f>IF('LS-Fund 0290 Journal Entries'!$F$8="Proprietary - Enterprise Fund",SUM('LS-Fund 0290 Journal Entries'!$J$68,'LS-Fund 0290 Journal Entries'!J96),0)</f>
        <v>0</v>
      </c>
      <c r="K18" s="58"/>
      <c r="L18" s="63">
        <f>SUM(F18+H18-J18)</f>
        <v>0</v>
      </c>
      <c r="M18" s="58"/>
      <c r="N18" s="61">
        <f>IF('LS-Fund 0290 Journal Entries'!$F$8="Proprietary - Enterprise Fund",'LS-Fund 0290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opLeftCell="A66" zoomScale="112" zoomScaleNormal="112" workbookViewId="0">
      <selection activeCell="M79" sqref="M79"/>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0290 Journal Entries'!$F$8="Governmental Fund",'LS-Fund 0290 Journal Entries'!$K$23,0)</f>
        <v>1229407</v>
      </c>
      <c r="C16" s="116" t="s">
        <v>145</v>
      </c>
      <c r="D16" s="84">
        <f>IF('LS-Fund 0290 Journal Entries'!$F$8="Governmental Fund",'LS-Fund 0290 Journal Entries'!$K$48,0)</f>
        <v>0</v>
      </c>
      <c r="E16" s="118" t="s">
        <v>146</v>
      </c>
      <c r="F16" s="84">
        <f>IF('LS-Fund 0290 Journal Entries'!$F$8="Governmental Fund",'LS-Fund 0290 Journal Entries'!$J$68,0)</f>
        <v>280448</v>
      </c>
      <c r="G16" s="117" t="s">
        <v>146</v>
      </c>
      <c r="H16" s="84">
        <f>IF('LS-Fund 0290 Journal Entries'!$F$8="Governmental Fund",'LS-Fund 0290 Journal Entries'!$J$96,0)</f>
        <v>0</v>
      </c>
      <c r="I16" s="117" t="s">
        <v>145</v>
      </c>
      <c r="J16" s="84">
        <f>IF('LS-Fund 0290 Journal Entries'!$F$8="Governmental Fund",'LS-Fund 0290 Journal Entries'!$K$113,0)</f>
        <v>0</v>
      </c>
      <c r="K16" s="118" t="s">
        <v>149</v>
      </c>
      <c r="L16" s="87">
        <f>+B16+D16-F16-H16+J16</f>
        <v>948959</v>
      </c>
      <c r="M16" s="86"/>
      <c r="N16" s="88">
        <f>SUM('LS-Department Note Disclosure'!B13:B36)</f>
        <v>948959</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0290 Journal Entries'!$F$8="Proprietary - Internal Service Fund",'LS-Fund 0290 Journal Entries'!$K$23,0)</f>
        <v>0</v>
      </c>
      <c r="C24" s="116" t="s">
        <v>145</v>
      </c>
      <c r="D24" s="84">
        <f>IF('LS-Fund 0290 Journal Entries'!$F$8="Proprietary - Internal Service Fund",'LS-Fund 0290 Journal Entries'!$K$48,0)</f>
        <v>0</v>
      </c>
      <c r="E24" s="118" t="s">
        <v>146</v>
      </c>
      <c r="F24" s="84">
        <f>IF('LS-Fund 0290 Journal Entries'!$F$8="Proprietary - Internal Service Fund",'LS-Fund 0290 Journal Entries'!$J$68,0)</f>
        <v>0</v>
      </c>
      <c r="G24" s="117" t="s">
        <v>146</v>
      </c>
      <c r="H24" s="84">
        <f>IF('LS-Fund 0290 Journal Entries'!$F$8="Proprietary - Internal Service Fund",'LS-Fund 0290 Journal Entries'!$J$96,0)</f>
        <v>0</v>
      </c>
      <c r="I24" s="117" t="s">
        <v>145</v>
      </c>
      <c r="J24" s="84">
        <f>IF('LS-Fund 0290 Journal Entries'!$F$8="Proprietary - Internal Service Fund",'LS-Fund 0290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0290 Journal Entries'!$F$8="Proprietary - Enterprise Fund",'LS-Fund 0290 Journal Entries'!$K$23,0)</f>
        <v>0</v>
      </c>
      <c r="C33" s="116" t="s">
        <v>145</v>
      </c>
      <c r="D33" s="84">
        <f>IF('LS-Fund 0290 Journal Entries'!$F$8="Proprietary - Enterprise Fund",'LS-Fund 0290 Journal Entries'!$K$48,0)</f>
        <v>0</v>
      </c>
      <c r="E33" s="118" t="s">
        <v>146</v>
      </c>
      <c r="F33" s="84">
        <f>IF('LS-Fund 0290 Journal Entries'!$F$8="Proprietary - Enterprise Fund",'LS-Fund 0290 Journal Entries'!$J$68,0)</f>
        <v>0</v>
      </c>
      <c r="G33" s="117" t="s">
        <v>146</v>
      </c>
      <c r="H33" s="84">
        <f>IF('LS-Fund 0290 Journal Entries'!$F$8="Proprietary - Enterprise Fund",'LS-Fund 0290 Journal Entries'!$J$96,0)</f>
        <v>0</v>
      </c>
      <c r="I33" s="117" t="s">
        <v>145</v>
      </c>
      <c r="J33" s="84">
        <f>IF('LS-Fund 0290 Journal Entries'!$F$8="Proprietary - Enterprise Fund",'LS-Fund 0290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0290 Journal Entries'!$F$8="Governmental Fund",'LS-Fund 0290 Journal Entries'!$K$76,0)</f>
        <v>289496</v>
      </c>
      <c r="C42" s="92"/>
      <c r="E42" s="92"/>
      <c r="G42" s="115"/>
      <c r="H42" s="115"/>
      <c r="I42" s="115"/>
      <c r="J42" s="115"/>
      <c r="K42" s="92"/>
      <c r="L42" s="92"/>
      <c r="M42" s="93"/>
      <c r="N42" s="88">
        <f>'LS-Department Note Disclosure'!B13</f>
        <v>289496</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0290 Journal Entries'!$F$8="Proprietary - Internal Service Fund",'LS-Fund 0290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0290 Journal Entries'!$F$8="Proprietary - Enterprise Fund",'LS-Fund 0290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1229407</v>
      </c>
      <c r="J66" s="97">
        <f>SUM(D66)</f>
        <v>1229407</v>
      </c>
      <c r="L66" s="98" t="str">
        <f>CONCATENATE("Balance July 1, ",LEFT('LS-Department Note Disclosure'!$B$8,4))</f>
        <v>Balance July 1, 2023</v>
      </c>
      <c r="N66" s="97">
        <f>'LS-Lease Liabilities'!F10</f>
        <v>1229407</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280448</v>
      </c>
      <c r="E68" s="119" t="s">
        <v>145</v>
      </c>
      <c r="F68" s="79" t="s">
        <v>1678</v>
      </c>
      <c r="H68" s="97">
        <f>$H$16</f>
        <v>0</v>
      </c>
      <c r="J68" s="97">
        <f>SUM(D68,H68)</f>
        <v>280448</v>
      </c>
      <c r="L68" s="98" t="s">
        <v>13</v>
      </c>
      <c r="N68" s="97">
        <f>'LS-Lease Liabilities'!J10</f>
        <v>280448</v>
      </c>
      <c r="P68" s="89">
        <f t="shared" si="0"/>
        <v>0</v>
      </c>
    </row>
    <row r="69" spans="1:17" x14ac:dyDescent="0.25">
      <c r="B69" s="79" t="s">
        <v>155</v>
      </c>
      <c r="D69" s="97">
        <f>$B$42</f>
        <v>289496</v>
      </c>
      <c r="J69" s="97">
        <f>SUM(D69)</f>
        <v>289496</v>
      </c>
      <c r="L69" s="98" t="s">
        <v>14</v>
      </c>
      <c r="N69" s="97">
        <f>'LS-Lease Liabilities'!N10</f>
        <v>289496</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0290 Journal Entries</vt:lpstr>
      <vt:lpstr>LS-Department Note Disclosure</vt:lpstr>
      <vt:lpstr>LS-Lease Liabilities</vt:lpstr>
      <vt:lpstr>LS-Check Figures  </vt:lpstr>
      <vt:lpstr>'LS-Department Note Disclosure'!Print_Area</vt:lpstr>
      <vt:lpstr>'LS-Fund 0290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Au, Jared</cp:lastModifiedBy>
  <cp:lastPrinted>2024-09-14T00:58:00Z</cp:lastPrinted>
  <dcterms:created xsi:type="dcterms:W3CDTF">2023-03-08T17:19:33Z</dcterms:created>
  <dcterms:modified xsi:type="dcterms:W3CDTF">2024-12-18T19:39:29Z</dcterms:modified>
</cp:coreProperties>
</file>