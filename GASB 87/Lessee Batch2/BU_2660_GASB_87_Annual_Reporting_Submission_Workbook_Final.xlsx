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C39146FD-5A4B-4908-9231-C248C3FFAD63}" xr6:coauthVersionLast="47" xr6:coauthVersionMax="47" xr10:uidLastSave="{00000000-0000-0000-0000-000000000000}"/>
  <bookViews>
    <workbookView xWindow="20370" yWindow="-120" windowWidth="29040" windowHeight="15840" tabRatio="921" firstSheet="3" activeTab="4" xr2:uid="{00000000-000D-0000-FFFF-FFFF00000000}"/>
  </bookViews>
  <sheets>
    <sheet name="Drop Down Menus" sheetId="1" state="hidden" r:id="rId1"/>
    <sheet name="qryIndex02a" sheetId="11" state="hidden" r:id="rId2"/>
    <sheet name="LS-Version Changes" sheetId="13" state="hidden" r:id="rId3"/>
    <sheet name="LS-Fund 0042 Journal Entries" sheetId="2" r:id="rId4"/>
    <sheet name="LS-Fund 0046 Journal Entrie " sheetId="16" r:id="rId5"/>
    <sheet name="LS-Fund 3290 Journal Entrie " sheetId="17" r:id="rId6"/>
    <sheet name="LS-Fund 3291 Journal Entrie" sheetId="18" r:id="rId7"/>
    <sheet name="LS-Department Note Disclosure" sheetId="3" r:id="rId8"/>
    <sheet name="LS-Lease Liabilities" sheetId="4" r:id="rId9"/>
    <sheet name="LS-Check Figures  " sheetId="7" r:id="rId10"/>
    <sheet name="LR-Version Changes" sheetId="15" state="hidden" r:id="rId11"/>
    <sheet name="FP-Version Changes" sheetId="14" state="hidden" r:id="rId12"/>
  </sheets>
  <externalReferences>
    <externalReference r:id="rId13"/>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#REF!</definedName>
    <definedName name="AgencyCode1" localSheetId="11">#REF!</definedName>
    <definedName name="AgencyCode1" localSheetId="10">#REF!</definedName>
    <definedName name="AgencyCode1">#REF!</definedName>
    <definedName name="AnalystGASB">[1]DeveloperInfo!$D$20</definedName>
    <definedName name="Annuity" localSheetId="11">#REF!</definedName>
    <definedName name="Annuity" localSheetId="10">#REF!</definedName>
    <definedName name="Annuity">#REF!</definedName>
    <definedName name="Annuity1" localSheetId="11">#REF!</definedName>
    <definedName name="Annuity1" localSheetId="10">#REF!</definedName>
    <definedName name="Annuity1">#REF!</definedName>
    <definedName name="AnnuityLY" localSheetId="11">#REF!</definedName>
    <definedName name="AnnuityLY" localSheetId="1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#REF!</definedName>
    <definedName name="EmployerRates1" localSheetId="11">#REF!</definedName>
    <definedName name="EmployerRates1" localSheetId="10">#REF!</definedName>
    <definedName name="EmployerRates1">#REF!</definedName>
    <definedName name="EmployerRatesLEO" localSheetId="11">#REF!</definedName>
    <definedName name="EmployerRatesLEO" localSheetId="10">#REF!</definedName>
    <definedName name="EmployerRatesLEO">#REF!</definedName>
    <definedName name="EmployerRatesLEO1" localSheetId="11">#REF!</definedName>
    <definedName name="EmployerRatesLEO1" localSheetId="1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#REF!</definedName>
    <definedName name="Pension1" localSheetId="11">#REF!</definedName>
    <definedName name="Pension1" localSheetId="10">#REF!</definedName>
    <definedName name="Pension1">#REF!</definedName>
    <definedName name="PensionLY" localSheetId="11">#REF!</definedName>
    <definedName name="PensionLY" localSheetId="10">#REF!</definedName>
    <definedName name="PensionLY">#REF!</definedName>
    <definedName name="PlanNameLongGASB">[1]DeveloperInfo!$D$7</definedName>
    <definedName name="PlanNameShortGASB">[1]DeveloperInfo!$D$8</definedName>
    <definedName name="_xlnm.Print_Area" localSheetId="7">'LS-Department Note Disclosure'!$A$1:$F$96</definedName>
    <definedName name="_xlnm.Print_Area" localSheetId="3">'LS-Fund 0042 Journal Entries'!$A$1:$R$130</definedName>
    <definedName name="_xlnm.Print_Area" localSheetId="4">'LS-Fund 0046 Journal Entrie '!$A$1:$R$130</definedName>
    <definedName name="_xlnm.Print_Area" localSheetId="5">'LS-Fund 3290 Journal Entrie '!$A$1:$R$130</definedName>
    <definedName name="_xlnm.Print_Area" localSheetId="6">'LS-Fund 3291 Journal Entrie'!$A$1:$R$130</definedName>
    <definedName name="_xlnm.Print_Area" localSheetId="8">'LS-Lease Liabilities'!$A$1:$U$24</definedName>
    <definedName name="ProjDisc?">[1]DeveloperInfo!$D$65</definedName>
    <definedName name="ProValResults" localSheetId="11">#REF!</definedName>
    <definedName name="ProValResults" localSheetId="10">#REF!</definedName>
    <definedName name="ProValResults">#REF!</definedName>
    <definedName name="ProValResults1" localSheetId="11">#REF!</definedName>
    <definedName name="ProValResults1" localSheetId="1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#REF!</definedName>
    <definedName name="TableData1" localSheetId="11">#REF!</definedName>
    <definedName name="TableData1" localSheetId="10">#REF!</definedName>
    <definedName name="TableData1">#REF!</definedName>
    <definedName name="Type" localSheetId="11">#REF!</definedName>
    <definedName name="Type" localSheetId="10">#REF!</definedName>
    <definedName name="Type">#REF!</definedName>
    <definedName name="TypeAnnuity" localSheetId="11">#REF!</definedName>
    <definedName name="TypeAnnuity" localSheetId="10">#REF!</definedName>
    <definedName name="TypeAnnuity">#REF!</definedName>
    <definedName name="TypeAnnuity1" localSheetId="11">#REF!</definedName>
    <definedName name="TypeAnnuity1" localSheetId="10">#REF!</definedName>
    <definedName name="TypeAnnuity1">#REF!</definedName>
    <definedName name="TypePension" localSheetId="11">#REF!</definedName>
    <definedName name="TypePension" localSheetId="10">#REF!</definedName>
    <definedName name="TypePension">#REF!</definedName>
    <definedName name="TypePension1" localSheetId="11">#REF!</definedName>
    <definedName name="TypePension1" localSheetId="10">#REF!</definedName>
    <definedName name="TypePension1">#REF!</definedName>
    <definedName name="UnfundedData" localSheetId="11">#REF!</definedName>
    <definedName name="UnfundedData" localSheetId="10">#REF!</definedName>
    <definedName name="UnfundedData">#REF!</definedName>
    <definedName name="UnfundedData1" localSheetId="11">#REF!</definedName>
    <definedName name="UnfundedData1" localSheetId="10">#REF!</definedName>
    <definedName name="UnfundedData1">#REF!</definedName>
    <definedName name="UnfundedLY" localSheetId="11">#REF!</definedName>
    <definedName name="UnfundedLY" localSheetId="10">#REF!</definedName>
    <definedName name="UnfundedLY">#REF!</definedName>
    <definedName name="UnfundedLY1" localSheetId="11">#REF!</definedName>
    <definedName name="UnfundedLY1" localSheetId="10">#REF!</definedName>
    <definedName name="UnfundedLY1">#REF!</definedName>
    <definedName name="UnfundedLYLEO1" localSheetId="11">#REF!</definedName>
    <definedName name="UnfundedLYLEO1" localSheetId="10">#REF!</definedName>
    <definedName name="UnfundedLYLEO1">#REF!</definedName>
    <definedName name="UnfunedLYLEO" localSheetId="11">#REF!</definedName>
    <definedName name="UnfunedLYLEO" localSheetId="10">#REF!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13" i="3"/>
  <c r="K129" i="18"/>
  <c r="K114" i="18"/>
  <c r="J114" i="18"/>
  <c r="L114" i="18" s="1"/>
  <c r="K105" i="18"/>
  <c r="L105" i="18" s="1"/>
  <c r="J105" i="18"/>
  <c r="K91" i="18"/>
  <c r="J91" i="18"/>
  <c r="L91" i="18" s="1"/>
  <c r="K77" i="18"/>
  <c r="J77" i="18"/>
  <c r="L77" i="18" s="1"/>
  <c r="K70" i="18"/>
  <c r="J70" i="18"/>
  <c r="L70" i="18" s="1"/>
  <c r="L69" i="18"/>
  <c r="K65" i="18"/>
  <c r="L65" i="18" s="1"/>
  <c r="J65" i="18"/>
  <c r="B63" i="18"/>
  <c r="L62" i="18"/>
  <c r="K59" i="18"/>
  <c r="J59" i="18"/>
  <c r="L59" i="18" s="1"/>
  <c r="K49" i="18"/>
  <c r="J49" i="18"/>
  <c r="K43" i="18"/>
  <c r="J43" i="18"/>
  <c r="K36" i="18"/>
  <c r="J36" i="18"/>
  <c r="S25" i="18"/>
  <c r="Q24" i="18"/>
  <c r="K24" i="18" s="1"/>
  <c r="S23" i="18"/>
  <c r="K23" i="18"/>
  <c r="K128" i="18" s="1"/>
  <c r="S22" i="18"/>
  <c r="K22" i="18"/>
  <c r="K127" i="18" s="1"/>
  <c r="S21" i="18"/>
  <c r="K21" i="18"/>
  <c r="K126" i="18" s="1"/>
  <c r="S20" i="18"/>
  <c r="K20" i="18"/>
  <c r="K25" i="18" s="1"/>
  <c r="S19" i="18"/>
  <c r="P18" i="18"/>
  <c r="S18" i="18" s="1"/>
  <c r="J18" i="18"/>
  <c r="S17" i="18"/>
  <c r="J17" i="18"/>
  <c r="K124" i="18" s="1"/>
  <c r="S16" i="18"/>
  <c r="J16" i="18"/>
  <c r="K123" i="18" s="1"/>
  <c r="S15" i="18"/>
  <c r="J15" i="18"/>
  <c r="K122" i="18" s="1"/>
  <c r="F9" i="18"/>
  <c r="C104" i="18" s="1"/>
  <c r="K129" i="17"/>
  <c r="K114" i="17"/>
  <c r="J114" i="17"/>
  <c r="L114" i="17" s="1"/>
  <c r="K105" i="17"/>
  <c r="L105" i="17" s="1"/>
  <c r="J105" i="17"/>
  <c r="K91" i="17"/>
  <c r="J91" i="17"/>
  <c r="K77" i="17"/>
  <c r="J77" i="17"/>
  <c r="L77" i="17" s="1"/>
  <c r="K70" i="17"/>
  <c r="J70" i="17"/>
  <c r="L70" i="17" s="1"/>
  <c r="L69" i="17"/>
  <c r="K65" i="17"/>
  <c r="L65" i="17" s="1"/>
  <c r="J65" i="17"/>
  <c r="B63" i="17"/>
  <c r="L62" i="17"/>
  <c r="K59" i="17"/>
  <c r="J59" i="17"/>
  <c r="L59" i="17" s="1"/>
  <c r="K49" i="17"/>
  <c r="J49" i="17"/>
  <c r="K43" i="17"/>
  <c r="J43" i="17"/>
  <c r="K36" i="17"/>
  <c r="J36" i="17"/>
  <c r="L36" i="17" s="1"/>
  <c r="S25" i="17"/>
  <c r="Q24" i="17"/>
  <c r="S24" i="17" s="1"/>
  <c r="S23" i="17"/>
  <c r="K23" i="17"/>
  <c r="K128" i="17" s="1"/>
  <c r="S22" i="17"/>
  <c r="K22" i="17"/>
  <c r="K127" i="17" s="1"/>
  <c r="S21" i="17"/>
  <c r="K21" i="17"/>
  <c r="K126" i="17" s="1"/>
  <c r="S20" i="17"/>
  <c r="K20" i="17"/>
  <c r="S19" i="17"/>
  <c r="P18" i="17"/>
  <c r="S18" i="17" s="1"/>
  <c r="J18" i="17"/>
  <c r="S17" i="17"/>
  <c r="J17" i="17"/>
  <c r="K124" i="17" s="1"/>
  <c r="S16" i="17"/>
  <c r="J16" i="17"/>
  <c r="K123" i="17" s="1"/>
  <c r="S15" i="17"/>
  <c r="J15" i="17"/>
  <c r="F9" i="17"/>
  <c r="C104" i="17" s="1"/>
  <c r="K129" i="16"/>
  <c r="K125" i="16"/>
  <c r="K114" i="16"/>
  <c r="J114" i="16"/>
  <c r="L114" i="16" s="1"/>
  <c r="L105" i="16"/>
  <c r="K105" i="16"/>
  <c r="J105" i="16"/>
  <c r="K91" i="16"/>
  <c r="J91" i="16"/>
  <c r="L91" i="16" s="1"/>
  <c r="K77" i="16"/>
  <c r="J77" i="16"/>
  <c r="L77" i="16" s="1"/>
  <c r="K70" i="16"/>
  <c r="J70" i="16"/>
  <c r="L69" i="16"/>
  <c r="K65" i="16"/>
  <c r="J65" i="16"/>
  <c r="B63" i="16"/>
  <c r="L62" i="16"/>
  <c r="K59" i="16"/>
  <c r="J59" i="16"/>
  <c r="L59" i="16" s="1"/>
  <c r="L49" i="16"/>
  <c r="K49" i="16"/>
  <c r="J49" i="16"/>
  <c r="K43" i="16"/>
  <c r="L43" i="16" s="1"/>
  <c r="J43" i="16"/>
  <c r="K36" i="16"/>
  <c r="J36" i="16"/>
  <c r="L36" i="16" s="1"/>
  <c r="S25" i="16"/>
  <c r="Q24" i="16"/>
  <c r="S24" i="16" s="1"/>
  <c r="S23" i="16"/>
  <c r="K23" i="16"/>
  <c r="K128" i="16" s="1"/>
  <c r="S22" i="16"/>
  <c r="K22" i="16"/>
  <c r="K127" i="16" s="1"/>
  <c r="S21" i="16"/>
  <c r="K21" i="16"/>
  <c r="S20" i="16"/>
  <c r="K20" i="16"/>
  <c r="S19" i="16"/>
  <c r="P18" i="16"/>
  <c r="J18" i="16" s="1"/>
  <c r="S17" i="16"/>
  <c r="J17" i="16"/>
  <c r="K124" i="16" s="1"/>
  <c r="S16" i="16"/>
  <c r="J16" i="16"/>
  <c r="K123" i="16" s="1"/>
  <c r="S15" i="16"/>
  <c r="J15" i="16"/>
  <c r="K122" i="16" s="1"/>
  <c r="F9" i="16"/>
  <c r="C104" i="16" s="1"/>
  <c r="L49" i="18" l="1"/>
  <c r="L43" i="18"/>
  <c r="L36" i="18"/>
  <c r="S24" i="18"/>
  <c r="L91" i="17"/>
  <c r="L49" i="17"/>
  <c r="L43" i="17"/>
  <c r="L70" i="16"/>
  <c r="L65" i="16"/>
  <c r="S18" i="16"/>
  <c r="K26" i="18"/>
  <c r="K125" i="18"/>
  <c r="C64" i="18"/>
  <c r="B100" i="18"/>
  <c r="C35" i="18"/>
  <c r="J19" i="18"/>
  <c r="J26" i="18" s="1"/>
  <c r="L26" i="18" s="1"/>
  <c r="K122" i="17"/>
  <c r="C35" i="17"/>
  <c r="C64" i="17"/>
  <c r="K24" i="17"/>
  <c r="K25" i="17" s="1"/>
  <c r="K125" i="17"/>
  <c r="B100" i="17"/>
  <c r="C64" i="16"/>
  <c r="K24" i="16"/>
  <c r="B100" i="16"/>
  <c r="K126" i="16"/>
  <c r="C35" i="16"/>
  <c r="J19" i="17" l="1"/>
  <c r="J26" i="17" s="1"/>
  <c r="K26" i="17"/>
  <c r="L26" i="17" s="1"/>
  <c r="K25" i="16"/>
  <c r="K26" i="16" s="1"/>
  <c r="J19" i="16"/>
  <c r="J26" i="16" s="1"/>
  <c r="L26" i="16" l="1"/>
  <c r="B63" i="2" l="1"/>
  <c r="J18" i="4"/>
  <c r="H18" i="4"/>
  <c r="N18" i="4"/>
  <c r="F18"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79" i="7"/>
  <c r="J16" i="7"/>
  <c r="H67" i="7" s="1"/>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78" i="7"/>
  <c r="J78" i="7" s="1"/>
  <c r="P78" i="7" s="1"/>
  <c r="B57" i="7"/>
  <c r="D91" i="7" s="1"/>
  <c r="J91" i="7" s="1"/>
  <c r="P91" i="7" s="1"/>
  <c r="D80" i="7"/>
  <c r="J80" i="7" s="1"/>
  <c r="P80" i="7" s="1"/>
  <c r="F33" i="7"/>
  <c r="D90" i="7" s="1"/>
  <c r="J90" i="7" s="1"/>
  <c r="P90" i="7" s="1"/>
  <c r="D79" i="7"/>
  <c r="J79" i="7" s="1"/>
  <c r="P79" i="7" s="1"/>
  <c r="N57" i="7"/>
  <c r="N49" i="7"/>
  <c r="N42" i="7"/>
  <c r="N33" i="7"/>
  <c r="N24" i="7"/>
  <c r="B33"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<sst xmlns="http://schemas.openxmlformats.org/spreadsheetml/2006/main" count="8191" uniqueCount="1733">
  <si>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</si>
  <si>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</si>
  <si>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</si>
  <si>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</si>
  <si>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</si>
  <si>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</si>
  <si>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</si>
  <si>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</si>
  <si>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</si>
  <si>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</si>
  <si>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</si>
  <si>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</si>
  <si>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</si>
  <si>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</si>
  <si>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</si>
  <si>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</si>
  <si>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</si>
  <si>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</si>
  <si>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</si>
  <si>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</si>
  <si>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</si>
  <si>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</si>
  <si>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</si>
  <si>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</si>
  <si>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</si>
  <si>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</si>
  <si>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</si>
  <si>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</si>
  <si>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</si>
  <si>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</si>
  <si>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</si>
  <si>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</si>
  <si>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</si>
  <si>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</si>
  <si>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</si>
  <si>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</si>
  <si>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</si>
  <si>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</si>
  <si>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</si>
  <si>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</si>
  <si>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</si>
  <si>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</si>
  <si>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</si>
  <si>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</si>
  <si>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</si>
  <si>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</si>
  <si>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</si>
  <si>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</si>
  <si>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</si>
  <si>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</si>
  <si>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</si>
  <si>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</si>
  <si>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</si>
  <si>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</si>
  <si>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</si>
  <si>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</si>
  <si>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</si>
  <si>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</si>
  <si>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</si>
  <si>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</si>
  <si>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</si>
  <si>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</si>
  <si>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</si>
  <si>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</si>
  <si>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</si>
  <si>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</si>
  <si>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</si>
  <si>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</si>
  <si>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</si>
  <si>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</si>
  <si>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</si>
  <si>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</si>
  <si>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</si>
  <si>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</si>
  <si>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</si>
  <si>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</si>
  <si>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</si>
  <si>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</si>
  <si>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</si>
  <si>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</si>
  <si>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</si>
  <si>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</si>
  <si>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</si>
  <si>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</si>
  <si>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</si>
  <si>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</si>
  <si>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</si>
  <si>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</si>
  <si>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</si>
  <si>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</si>
  <si>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</si>
  <si>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</si>
  <si>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</si>
  <si>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</si>
  <si>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</si>
  <si>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</si>
  <si>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</si>
  <si>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</si>
  <si>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</si>
  <si>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</si>
  <si>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</si>
  <si>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</si>
  <si>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</si>
  <si>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</si>
  <si>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</si>
  <si>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</si>
  <si>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</si>
  <si>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</si>
  <si>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</si>
  <si>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</si>
  <si>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</si>
  <si>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</si>
  <si>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</si>
  <si>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</si>
  <si>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</si>
  <si>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</si>
  <si>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</si>
  <si>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</si>
  <si>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</si>
  <si>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</si>
  <si>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</si>
  <si>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</si>
  <si>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</si>
  <si>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</si>
  <si>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</si>
  <si>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</si>
  <si>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</si>
  <si>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</si>
  <si>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</si>
  <si>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</si>
  <si>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</si>
  <si>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</si>
  <si>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</si>
  <si>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</si>
  <si>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</si>
  <si>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</si>
  <si>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</si>
  <si>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</si>
  <si>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</si>
  <si>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</si>
  <si>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</si>
  <si>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</si>
  <si>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</si>
  <si>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</si>
  <si>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</si>
  <si>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</si>
  <si>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</si>
  <si>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</si>
  <si>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</si>
  <si>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</si>
  <si>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</si>
  <si>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</si>
  <si>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</si>
  <si>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</si>
  <si>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</si>
  <si>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</si>
  <si>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</si>
  <si>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</si>
  <si>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</si>
  <si>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</si>
  <si>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</si>
  <si>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</si>
  <si>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</si>
  <si>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</si>
  <si>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</si>
  <si>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</si>
  <si>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</si>
  <si>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</si>
  <si>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</si>
  <si>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</si>
  <si>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</si>
  <si>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</si>
  <si>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</si>
  <si>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</si>
  <si>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</si>
  <si>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</si>
  <si>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</si>
  <si>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</si>
  <si>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</si>
  <si>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</si>
  <si>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</si>
  <si>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</si>
  <si>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</si>
  <si>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</si>
  <si>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</si>
  <si>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</si>
  <si>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</si>
  <si>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</si>
  <si>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</si>
  <si>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</si>
  <si>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</si>
  <si>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</si>
  <si>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</si>
  <si>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</si>
  <si>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</si>
  <si>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</si>
  <si>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</si>
  <si>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</si>
  <si>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</si>
  <si>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</si>
  <si>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</si>
  <si>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</si>
  <si>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</si>
  <si>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</si>
  <si>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</si>
  <si>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</si>
  <si>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</si>
  <si>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</si>
  <si>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</si>
  <si>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</si>
  <si>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</si>
  <si>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</si>
  <si>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</si>
  <si>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</si>
  <si>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</si>
  <si>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</si>
  <si>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</si>
  <si>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</si>
  <si>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</si>
  <si>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</si>
  <si>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</si>
  <si>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</si>
  <si>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</si>
  <si>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</si>
  <si>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</si>
  <si>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</si>
  <si>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</si>
  <si>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</si>
  <si>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</si>
  <si>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</si>
  <si>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</si>
  <si>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</si>
  <si>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</si>
  <si>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</si>
  <si>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</si>
  <si>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</si>
  <si>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</si>
  <si>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</si>
  <si>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</si>
  <si>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</si>
  <si>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</si>
  <si>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</si>
  <si>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</si>
  <si>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</si>
  <si>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</si>
  <si>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</si>
  <si>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</si>
  <si>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</si>
  <si>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</si>
  <si>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</si>
  <si>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</si>
  <si>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</si>
  <si>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</si>
  <si>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</si>
  <si>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</si>
  <si>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</si>
  <si>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</si>
  <si>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</si>
  <si>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</si>
  <si>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</si>
  <si>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</si>
  <si>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</si>
  <si>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</si>
  <si>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</si>
  <si>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</si>
  <si>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</si>
  <si>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</si>
  <si>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</si>
  <si>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</si>
  <si>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</si>
  <si>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</si>
  <si>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</si>
  <si>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</si>
  <si>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</si>
  <si>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</si>
  <si>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</si>
  <si>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</si>
  <si>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</si>
  <si>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</si>
  <si>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</si>
  <si>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</si>
  <si>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</si>
  <si>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</si>
  <si>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</si>
  <si>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</si>
  <si>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</si>
  <si>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</si>
  <si>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</si>
  <si>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</si>
  <si>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</si>
  <si>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</si>
  <si>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</si>
  <si>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</si>
  <si>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</si>
  <si>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</si>
  <si>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</si>
  <si>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</si>
  <si>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</si>
  <si>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</si>
  <si>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</si>
  <si>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</si>
  <si>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</si>
  <si>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</si>
  <si>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</si>
  <si>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</si>
  <si>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</si>
  <si>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</si>
  <si>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</si>
  <si>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</si>
  <si>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</si>
  <si>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</si>
  <si>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</si>
  <si>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</si>
  <si>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</si>
  <si>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</si>
  <si>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</si>
  <si>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</si>
  <si>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</si>
  <si>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</si>
  <si>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</si>
  <si>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</si>
  <si>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</si>
  <si>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</si>
  <si>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</si>
  <si>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</si>
  <si>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</si>
  <si>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</si>
  <si>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</si>
  <si>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</si>
  <si>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</si>
  <si>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</si>
  <si>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</si>
  <si>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</si>
  <si>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</si>
  <si>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</si>
  <si>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</si>
  <si>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</si>
  <si>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</si>
  <si>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</si>
  <si>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</si>
  <si>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</si>
  <si>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</si>
  <si>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</si>
  <si>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</si>
  <si>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</si>
  <si>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</si>
  <si>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</si>
  <si>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</si>
  <si>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</si>
  <si>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</si>
  <si>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</si>
  <si>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</si>
  <si>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</si>
  <si>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</si>
  <si>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</si>
  <si>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</si>
  <si>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</si>
  <si>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</si>
  <si>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</si>
  <si>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</si>
  <si>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</si>
  <si>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</si>
  <si>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</si>
  <si>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</si>
  <si>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</si>
  <si>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</si>
  <si>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</si>
  <si>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</si>
  <si>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</si>
  <si>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</si>
  <si>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</si>
  <si>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</si>
  <si>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</si>
  <si>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</si>
  <si>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</si>
  <si>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</si>
  <si>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</si>
  <si>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</si>
  <si>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</si>
  <si>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</si>
  <si>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</si>
  <si>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</si>
  <si>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</si>
  <si>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</si>
  <si>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</si>
  <si>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</si>
  <si>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</si>
  <si>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</si>
  <si>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</si>
  <si>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</si>
  <si>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</si>
  <si>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</si>
  <si>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</si>
  <si>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</si>
  <si>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</si>
  <si>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</si>
  <si>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</si>
  <si>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</si>
  <si>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</si>
  <si>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</si>
  <si>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</si>
  <si>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</si>
  <si>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</si>
  <si>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</si>
  <si>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</si>
  <si>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</si>
  <si>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</si>
  <si>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</si>
  <si>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</si>
  <si>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</si>
  <si>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</si>
  <si>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</si>
  <si>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</si>
  <si>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</si>
  <si>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</si>
  <si>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</si>
  <si>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</si>
  <si>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</si>
  <si>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</si>
  <si>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</si>
  <si>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</si>
  <si>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</si>
  <si>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</si>
  <si>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</si>
  <si>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</si>
  <si>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</si>
  <si>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</si>
  <si>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</si>
  <si>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</si>
  <si>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</si>
  <si>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</si>
  <si>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</si>
  <si>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</si>
  <si>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</si>
  <si>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</si>
  <si>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</si>
  <si>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</si>
  <si>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</si>
  <si>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</si>
  <si>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</si>
  <si>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</si>
  <si>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</si>
  <si>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</si>
  <si>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</si>
  <si>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</si>
  <si>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</si>
  <si>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</si>
  <si>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</si>
  <si>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</si>
  <si>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</si>
  <si>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</si>
  <si>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</si>
  <si>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</si>
  <si>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</si>
  <si>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</si>
  <si>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</si>
  <si>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</si>
  <si>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</si>
  <si>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</si>
  <si>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</si>
  <si>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</si>
  <si>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</si>
  <si>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</si>
  <si>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</si>
  <si>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</si>
  <si>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</si>
  <si>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</si>
  <si>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</si>
  <si>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</si>
  <si>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</si>
  <si>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</si>
  <si>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</si>
  <si>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</si>
  <si>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</si>
  <si>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</si>
  <si>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</si>
  <si>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</si>
  <si>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</si>
  <si>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</si>
  <si>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</si>
  <si>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</si>
  <si>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</si>
  <si>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</si>
  <si>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</si>
  <si>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</si>
  <si>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</si>
  <si>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</si>
  <si>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</si>
  <si>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</si>
  <si>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</si>
  <si>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</si>
  <si>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</si>
  <si>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</si>
  <si>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</si>
  <si>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</si>
  <si>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</si>
  <si>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</si>
  <si>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</si>
  <si>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</si>
  <si>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</si>
  <si>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</si>
  <si>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</si>
  <si>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</si>
  <si>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</si>
  <si>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</si>
  <si>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</si>
  <si>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</si>
  <si>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</si>
  <si>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</si>
  <si>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</si>
  <si>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</si>
  <si>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</si>
  <si>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</si>
  <si>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</si>
  <si>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</si>
  <si>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</si>
  <si>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</si>
  <si>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</si>
  <si>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</si>
  <si>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</si>
  <si>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</si>
  <si>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</si>
  <si>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</si>
  <si>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</si>
  <si>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</si>
  <si>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</si>
  <si>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</si>
  <si>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</si>
  <si>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</si>
  <si>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</si>
  <si>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</si>
  <si>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</si>
  <si>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</si>
  <si>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</si>
  <si>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</si>
  <si>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</si>
  <si>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</si>
  <si>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</si>
  <si>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</si>
  <si>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</si>
  <si>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</si>
  <si>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</si>
  <si>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</si>
  <si>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</si>
  <si>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</si>
  <si>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</si>
  <si>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</si>
  <si>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</si>
  <si>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</si>
  <si>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</si>
  <si>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</si>
  <si>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</si>
  <si>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</si>
  <si>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</si>
  <si>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</si>
  <si>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</si>
  <si>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</si>
  <si>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</si>
  <si>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</si>
  <si>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</si>
  <si>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</si>
  <si>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</si>
  <si>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</si>
  <si>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</si>
  <si>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</si>
  <si>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</si>
  <si>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</si>
  <si>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</si>
  <si>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</si>
  <si>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</si>
  <si>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</si>
  <si>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</si>
  <si>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</si>
  <si>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</si>
  <si>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</si>
  <si>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</si>
  <si>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</si>
  <si>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</si>
  <si>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</si>
  <si>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</si>
  <si>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</si>
  <si>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</si>
  <si>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</si>
  <si>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</si>
  <si>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</si>
  <si>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</si>
  <si>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</si>
  <si>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</si>
  <si>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</si>
  <si>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</si>
  <si>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</si>
  <si>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</si>
  <si>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</si>
  <si>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</si>
  <si>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</si>
  <si>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</si>
  <si>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</si>
  <si>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</si>
  <si>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</si>
  <si>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</si>
  <si>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</si>
  <si>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</si>
  <si>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</si>
  <si>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</si>
  <si>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</si>
  <si>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</si>
  <si>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</si>
  <si>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</si>
  <si>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</si>
  <si>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</si>
  <si>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</si>
  <si>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</si>
  <si>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</si>
  <si>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</si>
  <si>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</si>
  <si>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</si>
  <si>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</si>
  <si>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</si>
  <si>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</si>
  <si>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</si>
  <si>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</si>
  <si>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</si>
  <si>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</si>
  <si>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</si>
  <si>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</si>
  <si>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</si>
  <si>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</si>
  <si>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</si>
  <si>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</si>
  <si>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</si>
  <si>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</si>
  <si>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</si>
  <si>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</si>
  <si>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</si>
  <si>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</si>
  <si>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</si>
  <si>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</si>
  <si>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</si>
  <si>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</si>
  <si>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</si>
  <si>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</si>
  <si>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</si>
  <si>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</si>
  <si>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</si>
  <si>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</si>
  <si>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</si>
  <si>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</si>
  <si>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</si>
  <si>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</si>
  <si>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</si>
  <si>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</si>
  <si>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</si>
  <si>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</si>
  <si>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</si>
  <si>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</si>
  <si>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</si>
  <si>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</si>
  <si>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</si>
  <si>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</si>
  <si>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</si>
  <si>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</si>
  <si>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</si>
  <si>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</si>
  <si>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</si>
  <si>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</si>
  <si>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</si>
  <si>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</si>
  <si>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</si>
  <si>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</si>
  <si>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</si>
  <si>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</si>
  <si>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</si>
  <si>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</si>
  <si>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</si>
  <si>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</si>
  <si>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</si>
  <si>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</si>
  <si>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</si>
  <si>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</si>
  <si>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</si>
  <si>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</si>
  <si>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</si>
  <si>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</si>
  <si>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</si>
  <si>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</si>
  <si>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</si>
  <si>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</si>
  <si>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</si>
  <si>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</si>
  <si>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</si>
  <si>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</si>
  <si>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</si>
  <si>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</si>
  <si>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</si>
  <si>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</si>
  <si>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</si>
  <si>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</si>
  <si>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</si>
  <si>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</si>
  <si>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</si>
  <si>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</si>
  <si>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</si>
  <si>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</si>
  <si>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</si>
  <si>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</si>
  <si>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</si>
  <si>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</si>
  <si>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</si>
  <si>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</si>
  <si>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</si>
  <si>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</si>
  <si>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</si>
  <si>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</si>
  <si>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</si>
  <si>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</si>
  <si>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</si>
  <si>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</si>
  <si>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</si>
  <si>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</si>
  <si>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</si>
  <si>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</si>
  <si>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</si>
  <si>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</si>
  <si>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</si>
  <si>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</si>
  <si>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</si>
  <si>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</si>
  <si>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</si>
  <si>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</si>
  <si>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</si>
  <si>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</si>
  <si>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</si>
  <si>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</si>
  <si>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</si>
  <si>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</si>
  <si>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</si>
  <si>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</si>
  <si>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</si>
  <si>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</si>
  <si>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</si>
  <si>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</si>
  <si>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</si>
  <si>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</si>
  <si>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</si>
  <si>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</si>
  <si>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</si>
  <si>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</si>
  <si>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</si>
  <si>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</si>
  <si>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</si>
  <si>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</si>
  <si>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</si>
  <si>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</si>
  <si>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</si>
  <si>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</si>
  <si>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</si>
  <si>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</si>
  <si>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</si>
  <si>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</si>
  <si>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</si>
  <si>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</si>
  <si>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</si>
  <si>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</si>
  <si>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</si>
  <si>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</si>
  <si>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</si>
  <si>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</si>
  <si>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</si>
  <si>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</si>
  <si>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</si>
  <si>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</si>
  <si>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</si>
  <si>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</si>
  <si>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</si>
  <si>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</si>
  <si>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</si>
  <si>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</si>
  <si>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</si>
  <si>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</si>
  <si>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</si>
  <si>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</si>
  <si>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</si>
  <si>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</si>
  <si>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</si>
  <si>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</si>
  <si>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</si>
  <si>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</si>
  <si>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</si>
  <si>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</si>
  <si>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</si>
  <si>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</si>
  <si>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</si>
  <si>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</si>
  <si>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</si>
  <si>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</si>
  <si>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</si>
  <si>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</si>
  <si>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</si>
  <si>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</si>
  <si>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</si>
  <si>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</si>
  <si>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</si>
  <si>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</si>
  <si>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</si>
  <si>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</si>
  <si>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</si>
  <si>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</si>
  <si>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</si>
  <si>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</si>
  <si>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</si>
  <si>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</si>
  <si>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</si>
  <si>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</si>
  <si>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</si>
  <si>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</si>
  <si>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</si>
  <si>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</si>
  <si>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</si>
  <si>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</si>
  <si>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</si>
  <si>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</si>
  <si>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</si>
  <si>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</si>
  <si>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</si>
  <si>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</si>
  <si>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</si>
  <si>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</si>
  <si>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</si>
  <si>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</si>
  <si>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</si>
  <si>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</si>
  <si>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</si>
  <si>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</si>
  <si>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</si>
  <si>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</si>
  <si>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</si>
  <si>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</si>
  <si>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</si>
  <si>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</si>
  <si>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</si>
  <si>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</si>
  <si>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</si>
  <si>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</si>
  <si>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</si>
  <si>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</si>
  <si>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</si>
  <si>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</si>
  <si>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</si>
  <si>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</si>
  <si>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</si>
  <si>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</si>
  <si>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</si>
  <si>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</si>
  <si>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</si>
  <si>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</si>
  <si>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</si>
  <si>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</si>
  <si>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</si>
  <si>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</si>
  <si>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</si>
  <si>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</si>
  <si>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</si>
  <si>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</si>
  <si>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</si>
  <si>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</si>
  <si>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</si>
  <si>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</si>
  <si>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</si>
  <si>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</si>
  <si>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</si>
  <si>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</si>
  <si>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</si>
  <si>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</si>
  <si>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</si>
  <si>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</si>
  <si>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</si>
  <si>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</si>
  <si>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</si>
  <si>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</si>
  <si>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</si>
  <si>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</si>
  <si>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</si>
  <si>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</si>
  <si>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</si>
  <si>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</si>
  <si>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</si>
  <si>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</si>
  <si>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</si>
  <si>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</si>
  <si>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</si>
  <si>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</si>
  <si>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</si>
  <si>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</si>
  <si>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</si>
  <si>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</si>
  <si>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</si>
  <si>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</si>
  <si>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</si>
  <si>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</si>
  <si>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</si>
  <si>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</si>
  <si>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</si>
  <si>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</si>
  <si>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</si>
  <si>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</si>
  <si>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</si>
  <si>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</si>
  <si>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</si>
  <si>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</si>
  <si>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</si>
  <si>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</si>
  <si>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</si>
  <si>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</si>
  <si>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</si>
  <si>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</si>
  <si>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</si>
  <si>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</si>
  <si>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</si>
  <si>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</si>
  <si>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</si>
  <si>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</si>
  <si>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</si>
  <si>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</si>
  <si>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</si>
  <si>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</si>
  <si>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</si>
  <si>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</si>
  <si>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</si>
  <si>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</si>
  <si>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</si>
  <si>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</si>
  <si>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</si>
  <si>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</si>
  <si>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</si>
  <si>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</si>
  <si>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</si>
  <si>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</si>
  <si>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</si>
  <si>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</si>
  <si>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</si>
  <si>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</si>
  <si>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</si>
  <si>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</si>
  <si>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</si>
  <si>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</si>
  <si>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</si>
  <si>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</si>
  <si>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</si>
  <si>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</si>
  <si>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</si>
  <si>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</si>
  <si>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</si>
  <si>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</si>
  <si>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</si>
  <si>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</si>
  <si>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</si>
  <si>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</si>
  <si>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</si>
  <si>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</si>
  <si>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</si>
  <si>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</si>
  <si>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</si>
  <si>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</si>
  <si>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</si>
  <si>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</si>
  <si>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</si>
  <si>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</si>
  <si>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</si>
  <si>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</si>
  <si>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</si>
  <si>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</si>
  <si>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</si>
  <si>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</si>
  <si>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</si>
  <si>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</si>
  <si>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</si>
  <si>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</si>
  <si>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</si>
  <si>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</si>
  <si>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</si>
  <si>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</si>
  <si>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</si>
  <si>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</si>
  <si>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</si>
  <si>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</si>
  <si>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</si>
  <si>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</si>
  <si>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</si>
  <si>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</si>
  <si>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</si>
  <si>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</si>
  <si>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</si>
  <si>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</si>
  <si>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</si>
  <si>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</si>
  <si>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</si>
  <si>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</si>
  <si>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</si>
  <si>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</si>
  <si>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</si>
  <si>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</si>
  <si>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</si>
  <si>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</si>
  <si>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</si>
  <si>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</si>
  <si>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</si>
  <si>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</si>
  <si>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</si>
  <si>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</si>
  <si>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</si>
  <si>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</si>
  <si>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</si>
  <si>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</si>
  <si>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</si>
  <si>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</si>
  <si>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</si>
  <si>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</si>
  <si>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</si>
  <si>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</si>
  <si>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</si>
  <si>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</si>
  <si>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</si>
  <si>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</si>
  <si>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</si>
  <si>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</si>
  <si>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</si>
  <si>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</si>
  <si>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</si>
  <si>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</si>
  <si>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</si>
  <si>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</si>
  <si>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</si>
  <si>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</si>
  <si>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</si>
  <si>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</si>
  <si>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</si>
  <si>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</si>
  <si>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</si>
  <si>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</si>
  <si>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</si>
  <si>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</si>
  <si>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</si>
  <si>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</si>
  <si>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</si>
  <si>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</si>
  <si>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</si>
  <si>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</si>
  <si>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</si>
  <si>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</si>
  <si>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</si>
  <si>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</si>
  <si>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</si>
  <si>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</si>
  <si>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</si>
  <si>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</si>
  <si>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</si>
  <si>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</si>
  <si>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</si>
  <si>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</si>
  <si>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</si>
  <si>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</si>
  <si>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</si>
  <si>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</si>
  <si>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</si>
  <si>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</si>
  <si>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</si>
  <si>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</si>
  <si>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</si>
  <si>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</si>
  <si>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</si>
  <si>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</si>
  <si>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</si>
  <si>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</si>
  <si>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</si>
  <si>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</si>
  <si>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</si>
  <si>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</si>
  <si>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</si>
  <si>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</si>
  <si>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</si>
  <si>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</si>
  <si>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</si>
  <si>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</si>
  <si>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</si>
  <si>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</si>
  <si>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</si>
  <si>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</si>
  <si>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</si>
  <si>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</si>
  <si>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</si>
  <si>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</si>
  <si>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</si>
  <si>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</si>
  <si>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</si>
  <si>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</si>
  <si>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</si>
  <si>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</si>
  <si>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</si>
  <si>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</si>
  <si>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</si>
  <si>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</si>
  <si>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</si>
  <si>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</si>
  <si>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</si>
  <si>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</si>
  <si>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</si>
  <si>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</si>
  <si>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</si>
  <si>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</si>
  <si>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</si>
  <si>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</si>
  <si>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</si>
  <si>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</si>
  <si>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</si>
  <si>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</si>
  <si>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</si>
  <si>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</si>
  <si>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</si>
  <si>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</si>
  <si>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</si>
  <si>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</si>
  <si>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</si>
  <si>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</si>
  <si>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</si>
  <si>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</si>
  <si>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</si>
  <si>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</si>
  <si>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</si>
  <si>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</si>
  <si>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</si>
  <si>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</si>
  <si>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</si>
  <si>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</si>
  <si>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</si>
  <si>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</si>
  <si>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</si>
  <si>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</si>
  <si>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</si>
  <si>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</si>
  <si>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</si>
  <si>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</si>
  <si>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</si>
  <si>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</si>
  <si>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</si>
  <si>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</si>
  <si>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</si>
  <si>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</si>
  <si>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</si>
  <si>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</si>
  <si>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</si>
  <si>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</si>
  <si>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</si>
  <si>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</si>
  <si>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</si>
  <si>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</si>
  <si>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</si>
  <si>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</si>
  <si>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</si>
  <si>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</si>
  <si>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</si>
  <si>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</si>
  <si>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</si>
  <si>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</si>
  <si>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</si>
  <si>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</si>
  <si>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</si>
  <si>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</si>
  <si>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</si>
  <si>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</si>
  <si>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</si>
  <si>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</si>
  <si>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</si>
  <si>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</si>
  <si>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</si>
  <si>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</si>
  <si>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</si>
  <si>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</si>
  <si>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</si>
  <si>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</si>
  <si>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</si>
  <si>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</si>
  <si>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</si>
  <si>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</si>
  <si>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</si>
  <si>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</si>
  <si>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</si>
  <si>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</si>
  <si>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</si>
  <si>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</si>
  <si>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</si>
  <si>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</si>
  <si>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</si>
  <si>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</si>
  <si>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</si>
  <si>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</si>
  <si>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</si>
  <si>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</si>
  <si>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</si>
  <si>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</si>
  <si>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</si>
  <si>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</si>
  <si>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</si>
  <si>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</si>
  <si>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</si>
  <si>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</si>
  <si>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</si>
  <si>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</si>
  <si>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</si>
  <si>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</si>
  <si>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</si>
  <si>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</si>
  <si>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</si>
  <si>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</si>
  <si>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</si>
  <si>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</si>
  <si>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</si>
  <si>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</si>
  <si>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</si>
  <si>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</si>
  <si>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</si>
  <si>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</si>
  <si>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</si>
  <si>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</si>
  <si>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</si>
  <si>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</si>
  <si>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</si>
  <si>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</si>
  <si>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</si>
  <si>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</si>
  <si>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</si>
  <si>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</si>
  <si>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</si>
  <si>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</si>
  <si>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</si>
  <si>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</si>
  <si>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</si>
  <si>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</si>
  <si>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</si>
  <si>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</si>
  <si>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</si>
  <si>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</si>
  <si>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</si>
  <si>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</si>
  <si>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</si>
  <si>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</si>
  <si>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</si>
  <si>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</si>
  <si>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</si>
  <si>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</si>
  <si>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</si>
  <si>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</si>
  <si>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</si>
  <si>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</si>
  <si>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</si>
  <si>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</si>
  <si>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</si>
  <si>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</si>
  <si>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</si>
  <si>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</si>
  <si>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</si>
  <si>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</si>
  <si>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</si>
  <si>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</si>
  <si>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</si>
  <si>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</si>
  <si>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</si>
  <si>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</si>
  <si>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</si>
  <si>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</si>
  <si>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</si>
  <si>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</si>
  <si>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</si>
  <si>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</si>
  <si>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</si>
  <si>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</si>
  <si>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</si>
  <si>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</si>
  <si>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</si>
  <si>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</si>
  <si>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</si>
  <si>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</si>
  <si>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</si>
  <si>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</si>
  <si>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</si>
  <si>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</si>
  <si>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</si>
  <si>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</si>
  <si>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</si>
  <si>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</si>
  <si>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</si>
  <si>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</si>
  <si>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</si>
  <si>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</si>
  <si>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</si>
  <si>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</si>
  <si>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</si>
  <si>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</si>
  <si>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</si>
  <si>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</si>
  <si>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</si>
  <si>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</si>
  <si>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</si>
  <si>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</si>
  <si>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</si>
  <si>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</si>
  <si>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</si>
  <si>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</si>
  <si>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</si>
  <si>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</si>
  <si>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</si>
  <si>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</si>
  <si>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</si>
  <si>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</si>
  <si>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</si>
  <si>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</si>
  <si>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</si>
  <si>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</si>
  <si>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</si>
  <si>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</si>
  <si>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</si>
  <si>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</si>
  <si>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</si>
  <si>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</si>
  <si>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</si>
  <si>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</si>
  <si>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</si>
  <si>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</si>
  <si>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</si>
  <si>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</si>
  <si>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</si>
  <si>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</si>
  <si>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</si>
  <si>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</si>
  <si>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</si>
  <si>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</si>
  <si>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</si>
  <si>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</si>
  <si>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</si>
  <si>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</si>
  <si>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</si>
  <si>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</si>
  <si>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</si>
  <si>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</si>
  <si>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</si>
  <si>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</si>
  <si>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</si>
  <si>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</si>
  <si>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</si>
  <si>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</si>
  <si>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</si>
  <si>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</si>
  <si>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</si>
  <si>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</si>
  <si>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</si>
  <si>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</si>
  <si>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</si>
  <si>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</si>
  <si>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</si>
  <si>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</si>
  <si>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</si>
  <si>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</si>
  <si>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</si>
  <si>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</si>
  <si>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</si>
  <si>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</si>
  <si>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</si>
  <si>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</si>
  <si>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</si>
  <si>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</si>
  <si>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</si>
  <si>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</si>
  <si>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</si>
  <si>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</si>
  <si>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</si>
  <si>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</si>
  <si>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</si>
  <si>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</si>
  <si>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</si>
  <si>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</si>
  <si>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</si>
  <si>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</si>
  <si>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</si>
  <si>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</si>
  <si>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</si>
  <si>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</si>
  <si>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</si>
  <si>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</si>
  <si>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</si>
  <si>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</si>
  <si>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</si>
  <si>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</si>
  <si>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</si>
  <si>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</si>
  <si>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</si>
  <si>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</si>
  <si>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</si>
  <si>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</si>
  <si>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</si>
  <si>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</si>
  <si>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</si>
  <si>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</si>
  <si>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</si>
  <si>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</si>
  <si>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</si>
  <si>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</si>
  <si>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</si>
  <si>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</si>
  <si>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</si>
  <si>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</si>
  <si>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</si>
  <si>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</si>
  <si>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</si>
  <si>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</si>
  <si>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</si>
  <si>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</si>
  <si>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</si>
  <si>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</si>
  <si>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</si>
  <si>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</si>
  <si>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</si>
  <si>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</si>
  <si>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</si>
  <si>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</si>
  <si>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</si>
  <si>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</si>
  <si>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</si>
  <si>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</si>
  <si>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</si>
  <si>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</si>
  <si>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</si>
  <si>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</si>
  <si>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</si>
  <si>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</si>
  <si>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</si>
  <si>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</si>
  <si>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</si>
  <si>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</si>
  <si>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</si>
  <si>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</si>
  <si>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</si>
  <si>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</si>
  <si>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</si>
  <si>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</si>
  <si>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</si>
  <si>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</si>
  <si>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</si>
  <si>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</si>
  <si>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</si>
  <si>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</si>
  <si>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</si>
  <si>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</si>
  <si>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</si>
  <si>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</si>
  <si>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</si>
  <si>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</si>
  <si>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</si>
  <si>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</si>
  <si>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</si>
  <si>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</si>
  <si>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</si>
  <si>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</si>
  <si>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</si>
  <si>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</si>
  <si>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</si>
  <si>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</si>
  <si>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</si>
  <si>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</si>
  <si>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</si>
  <si>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</si>
  <si>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</si>
  <si>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</si>
  <si>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</si>
  <si>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</si>
  <si>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</si>
  <si>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</si>
  <si>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</si>
  <si>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</si>
  <si>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</si>
  <si>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</si>
  <si>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</si>
  <si>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</si>
  <si>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</si>
  <si>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</si>
  <si>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</si>
  <si>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</si>
  <si>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</si>
  <si>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</si>
  <si>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</si>
  <si>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</si>
  <si>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</si>
  <si>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</si>
  <si>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</si>
  <si>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</si>
  <si>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</si>
  <si>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</si>
  <si>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</si>
  <si>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</si>
  <si>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</si>
  <si>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</si>
  <si>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</si>
  <si>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</si>
  <si>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</si>
  <si>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</si>
  <si>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</si>
  <si>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</si>
  <si>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</si>
  <si>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</si>
  <si>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</si>
  <si>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</si>
  <si>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</si>
  <si>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</si>
  <si>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</si>
  <si>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</si>
  <si>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</si>
  <si>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</si>
  <si>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</si>
  <si>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</si>
  <si>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</si>
  <si>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</si>
  <si>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</si>
  <si>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</si>
  <si>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</si>
  <si>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</si>
  <si>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</si>
  <si>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</si>
  <si>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</si>
  <si>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</si>
  <si>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</si>
  <si>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</si>
  <si>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</si>
  <si>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</si>
  <si>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</si>
  <si>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</si>
  <si>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</si>
  <si>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</si>
  <si>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</si>
  <si>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</si>
  <si>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</si>
  <si>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</si>
  <si>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</si>
  <si>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</si>
  <si>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</si>
  <si>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</si>
  <si>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</si>
  <si>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</si>
  <si>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</si>
  <si>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</si>
  <si>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</si>
  <si>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</si>
  <si>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</si>
  <si>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</si>
  <si>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</si>
  <si>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</si>
  <si>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</si>
  <si>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</si>
  <si>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</si>
  <si>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</si>
  <si>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</si>
  <si>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</si>
  <si>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</si>
  <si>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</si>
  <si>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</si>
  <si>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</si>
  <si>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</si>
  <si>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</si>
  <si>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</si>
  <si>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</si>
  <si>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</si>
  <si>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</si>
  <si>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</si>
  <si>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</si>
  <si>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</si>
  <si>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</si>
  <si>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</si>
  <si>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</si>
  <si>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</si>
  <si>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</si>
  <si>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</si>
  <si>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</si>
  <si>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</si>
  <si>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</si>
  <si>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</si>
  <si>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</si>
  <si>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</si>
  <si>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</si>
  <si>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</si>
  <si>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</si>
  <si>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</si>
  <si>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</si>
  <si>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</si>
  <si>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</si>
  <si>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</si>
  <si>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</si>
  <si>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</si>
  <si>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</si>
  <si>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</si>
  <si>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</si>
  <si>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</si>
  <si>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</si>
  <si>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</si>
  <si>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</si>
  <si>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</si>
  <si>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</si>
  <si>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</si>
  <si>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</si>
  <si>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</si>
  <si>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</si>
  <si>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</si>
  <si>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</si>
  <si>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</si>
  <si>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</si>
  <si>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</si>
  <si>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</si>
  <si>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</si>
  <si>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</si>
  <si>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</si>
  <si>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</si>
  <si>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</si>
  <si>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</si>
  <si>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</si>
  <si>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</si>
  <si>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</si>
  <si>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</si>
  <si>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</si>
  <si>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</si>
  <si>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</si>
  <si>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</si>
  <si>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</si>
  <si>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</si>
  <si>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</si>
  <si>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</si>
  <si>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</si>
  <si>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</si>
  <si>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</si>
  <si>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</si>
  <si>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</si>
  <si>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</si>
  <si>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</si>
  <si>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</si>
  <si>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</si>
  <si>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</si>
  <si>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</si>
  <si>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</si>
  <si>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</si>
  <si>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</si>
  <si>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</si>
  <si>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</si>
  <si>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</si>
  <si>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</si>
  <si>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</si>
  <si>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</si>
  <si>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</si>
  <si>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</si>
  <si>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</si>
  <si>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</si>
  <si>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</si>
  <si>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</si>
  <si>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</si>
  <si>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</si>
  <si>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</si>
  <si>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</si>
  <si>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</si>
  <si>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</si>
  <si>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</si>
  <si>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</si>
  <si>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</si>
  <si>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</si>
  <si>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</si>
  <si>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</si>
  <si>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</si>
  <si>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</si>
  <si>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</si>
  <si>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</si>
  <si>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</si>
  <si>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</si>
  <si>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</si>
  <si>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</si>
  <si>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</si>
  <si>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</si>
  <si>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</si>
  <si>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</si>
  <si>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</si>
  <si>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</si>
  <si>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</si>
  <si>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</si>
  <si>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</si>
  <si>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</si>
  <si>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</si>
  <si>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</si>
  <si>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</si>
  <si>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</si>
  <si>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</si>
  <si>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</si>
  <si>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</si>
  <si>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</si>
  <si>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</si>
  <si>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</si>
  <si>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</si>
  <si>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</si>
  <si>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</si>
  <si>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</si>
  <si>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</si>
  <si>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</si>
  <si>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</si>
  <si>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</si>
  <si>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</si>
  <si>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</si>
  <si>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</si>
  <si>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</si>
  <si>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</si>
  <si>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</si>
  <si>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</si>
  <si>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</si>
  <si>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</si>
  <si>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</si>
  <si>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</si>
  <si>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</si>
  <si>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</si>
  <si>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</si>
  <si>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</si>
  <si>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</si>
  <si>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</si>
  <si>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</si>
  <si>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</si>
  <si>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</si>
  <si>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</si>
  <si>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</si>
  <si>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</si>
  <si>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</si>
  <si>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Account Number</t>
  </si>
  <si>
    <t>C32</t>
  </si>
  <si>
    <t>Changed account 0765-Investment and interest to account 0777-Investment and interest income.</t>
  </si>
  <si>
    <t>Department of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</si>
</sst>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24" sqref="I2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1706</v>
      </c>
      <c r="B1" s="183"/>
      <c r="C1" s="183"/>
      <c r="D1" s="183"/>
      <c r="E1" s="183"/>
      <c r="F1" s="184"/>
    </row>
    <row r="2" spans="1:6" x14ac:dyDescent="0.25">
      <c r="A2" s="185"/>
      <c r="B2" s="186"/>
      <c r="C2" s="186"/>
      <c r="D2" s="186"/>
      <c r="E2" s="186"/>
      <c r="F2" s="187"/>
    </row>
    <row r="4" spans="1:6" ht="15" x14ac:dyDescent="0.25">
      <c r="A4" s="172" t="s">
        <v>1660</v>
      </c>
      <c r="B4" s="173" t="s">
        <v>1686</v>
      </c>
    </row>
    <row r="5" spans="1:6" ht="15" x14ac:dyDescent="0.25">
      <c r="A5" s="172" t="s">
        <v>1691</v>
      </c>
      <c r="B5" s="173" t="s">
        <v>1724</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1690</v>
      </c>
      <c r="E10" s="177" t="s">
        <v>1665</v>
      </c>
      <c r="F10" s="177" t="s">
        <v>1666</v>
      </c>
    </row>
    <row r="11" spans="1:6" ht="28.5" x14ac:dyDescent="0.25">
      <c r="A11" s="171" t="s">
        <v>1669</v>
      </c>
      <c r="B11" s="171" t="s">
        <v>1693</v>
      </c>
      <c r="C11" s="171" t="s">
        <v>1667</v>
      </c>
      <c r="D11" s="171" t="s">
        <v>1692</v>
      </c>
      <c r="E11" s="171" t="s">
        <v>1710</v>
      </c>
      <c r="F11" s="171" t="s">
        <v>1711</v>
      </c>
    </row>
    <row r="12" spans="1:6" ht="42.75" x14ac:dyDescent="0.25">
      <c r="A12" s="171" t="s">
        <v>1669</v>
      </c>
      <c r="B12" s="171" t="s">
        <v>1694</v>
      </c>
      <c r="C12" s="171" t="s">
        <v>1695</v>
      </c>
      <c r="D12" s="171" t="s">
        <v>1695</v>
      </c>
      <c r="E12" s="171" t="s">
        <v>1696</v>
      </c>
      <c r="F12" s="171" t="s">
        <v>1712</v>
      </c>
    </row>
    <row r="13" spans="1:6" ht="28.5" x14ac:dyDescent="0.25">
      <c r="A13" s="171" t="s">
        <v>1697</v>
      </c>
      <c r="B13" s="171" t="s">
        <v>1701</v>
      </c>
      <c r="C13" s="171" t="s">
        <v>1698</v>
      </c>
      <c r="D13" s="171" t="s">
        <v>1698</v>
      </c>
      <c r="E13" s="171" t="s">
        <v>1699</v>
      </c>
      <c r="F13" s="171" t="s">
        <v>1700</v>
      </c>
    </row>
    <row r="14" spans="1:6" ht="28.5" x14ac:dyDescent="0.25">
      <c r="A14" s="171" t="s">
        <v>1697</v>
      </c>
      <c r="B14" s="171" t="s">
        <v>1725</v>
      </c>
      <c r="C14" s="171" t="s">
        <v>1727</v>
      </c>
      <c r="D14" s="171" t="s">
        <v>1727</v>
      </c>
      <c r="E14" s="171" t="s">
        <v>1728</v>
      </c>
      <c r="F14" s="171" t="s">
        <v>1726</v>
      </c>
    </row>
    <row r="15" spans="1:6" ht="42.75" x14ac:dyDescent="0.25">
      <c r="A15" s="171" t="s">
        <v>1670</v>
      </c>
      <c r="B15" s="171" t="s">
        <v>1702</v>
      </c>
      <c r="C15" s="171" t="s">
        <v>1667</v>
      </c>
      <c r="D15" s="171" t="s">
        <v>1703</v>
      </c>
      <c r="E15" s="171" t="s">
        <v>1704</v>
      </c>
      <c r="F15" s="171" t="s">
        <v>1705</v>
      </c>
    </row>
    <row r="16" spans="1:6" ht="85.5" x14ac:dyDescent="0.25">
      <c r="A16" s="171" t="s">
        <v>1670</v>
      </c>
      <c r="B16" s="171" t="s">
        <v>1707</v>
      </c>
      <c r="C16" s="171" t="s">
        <v>1695</v>
      </c>
      <c r="D16" s="171" t="s">
        <v>1695</v>
      </c>
      <c r="E16" s="171" t="s">
        <v>1708</v>
      </c>
      <c r="F16" s="171" t="s">
        <v>1709</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90" zoomScale="70" zoomScaleNormal="70" workbookViewId="0">
      <selection activeCell="K104" sqref="K10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1732</v>
      </c>
      <c r="G4" s="194"/>
      <c r="H4" s="194"/>
      <c r="I4" s="194"/>
    </row>
    <row r="5" spans="1:20" ht="16.5" customHeight="1" x14ac:dyDescent="0.2">
      <c r="A5" s="188" t="s">
        <v>1615</v>
      </c>
      <c r="B5" s="188"/>
      <c r="C5" s="188"/>
      <c r="D5" s="188"/>
      <c r="E5" s="188"/>
      <c r="F5" s="194" t="s">
        <v>676</v>
      </c>
      <c r="G5" s="194"/>
      <c r="H5" s="194"/>
      <c r="I5" s="194"/>
      <c r="L5" s="12"/>
      <c r="M5" s="12"/>
      <c r="N5" s="12"/>
      <c r="O5" s="12"/>
      <c r="P5" s="12"/>
      <c r="Q5" s="12"/>
    </row>
    <row r="6" spans="1:20" ht="16.5" customHeight="1" x14ac:dyDescent="0.25">
      <c r="A6" s="188" t="s">
        <v>1634</v>
      </c>
      <c r="B6" s="188"/>
      <c r="C6" s="188"/>
      <c r="D6" s="188"/>
      <c r="E6" s="188"/>
      <c r="F6" s="195">
        <v>42</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TRANSPORTATION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1687</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1687</v>
      </c>
    </row>
    <row r="17" spans="1:20" ht="16.5" customHeight="1" x14ac:dyDescent="0.25">
      <c r="A17" s="159" t="s">
        <v>1637</v>
      </c>
      <c r="B17" s="9" t="s">
        <v>172</v>
      </c>
      <c r="C17" s="9"/>
      <c r="D17" s="9"/>
      <c r="E17" s="140"/>
      <c r="F17" s="141"/>
      <c r="G17" s="141"/>
      <c r="H17" s="142"/>
      <c r="I17" s="142"/>
      <c r="J17" s="178">
        <f>M17</f>
        <v>91516504</v>
      </c>
      <c r="M17" s="143">
        <v>91516504</v>
      </c>
      <c r="P17" s="143">
        <v>91516505</v>
      </c>
      <c r="Q17" s="155"/>
      <c r="S17" s="154">
        <f t="shared" si="0"/>
        <v>1</v>
      </c>
      <c r="T17" s="180" t="s">
        <v>1687</v>
      </c>
    </row>
    <row r="18" spans="1:20" ht="16.5" customHeight="1" x14ac:dyDescent="0.25">
      <c r="A18" s="54"/>
      <c r="B18" s="9" t="s">
        <v>168</v>
      </c>
      <c r="C18" s="9"/>
      <c r="D18" s="9"/>
      <c r="E18" s="140"/>
      <c r="F18" s="141"/>
      <c r="G18" s="141"/>
      <c r="H18" s="142"/>
      <c r="I18" s="142"/>
      <c r="J18" s="178">
        <f>P18</f>
        <v>349545</v>
      </c>
      <c r="M18" s="143">
        <v>393467</v>
      </c>
      <c r="P18" s="152">
        <f>IF(SUM($Q$20:$Q$23)&gt;SUM($P$15:$P$17),SUM($Q$20:$Q$23)-SUM($P$15:$P$17),0)</f>
        <v>349545</v>
      </c>
      <c r="Q18" s="155"/>
      <c r="S18" s="154">
        <f t="shared" si="0"/>
        <v>-43922</v>
      </c>
      <c r="T18" s="179" t="s">
        <v>1668</v>
      </c>
    </row>
    <row r="19" spans="1:20" ht="16.5" customHeight="1" x14ac:dyDescent="0.25">
      <c r="A19" s="54"/>
      <c r="B19" s="9" t="s">
        <v>169</v>
      </c>
      <c r="C19" s="9"/>
      <c r="D19" s="9"/>
      <c r="E19" s="140"/>
      <c r="F19" s="141"/>
      <c r="G19" s="141"/>
      <c r="H19" s="142"/>
      <c r="I19" s="142"/>
      <c r="J19" s="178">
        <f>IF(SUM($K$20:$K$24)&gt;SUM($J$15:$J$18),SUM($K$20:$K$24)-SUM($J$15:$J$18),0)</f>
        <v>1</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37365048</v>
      </c>
      <c r="N22" s="143">
        <v>37365048</v>
      </c>
      <c r="P22" s="155"/>
      <c r="Q22" s="143">
        <v>37365048</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54501002</v>
      </c>
      <c r="N23" s="143">
        <v>54501002</v>
      </c>
      <c r="P23" s="155"/>
      <c r="Q23" s="143">
        <v>54501002</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-43920.92084063217</v>
      </c>
      <c r="P24" s="155"/>
      <c r="Q24" s="152">
        <f>IF(SUM($Q$20:$Q$23)&lt;SUM($P$15:$P$17),-SUM($Q$20:$Q$23)+SUM($P$15:$P$17),0)</f>
        <v>0</v>
      </c>
      <c r="S24" s="154">
        <f t="shared" si="1"/>
        <v>43920.92084063217</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91866050</v>
      </c>
      <c r="K26" s="107">
        <f>SUM(K15:K25)</f>
        <v>91866050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1678</v>
      </c>
      <c r="D32" s="138"/>
      <c r="E32" s="138"/>
      <c r="F32" s="139"/>
      <c r="G32" s="139"/>
      <c r="H32" s="130"/>
      <c r="I32" s="130"/>
      <c r="J32" s="134"/>
      <c r="K32" s="134"/>
    </row>
    <row r="33" spans="1:12" ht="16.5" customHeight="1" x14ac:dyDescent="0.25">
      <c r="B33" s="9" t="s">
        <v>179</v>
      </c>
      <c r="C33" s="9"/>
      <c r="D33" s="140"/>
      <c r="E33" s="140"/>
      <c r="F33" s="141"/>
      <c r="G33" s="141"/>
      <c r="H33" s="142"/>
      <c r="I33" s="142"/>
      <c r="J33" s="143">
        <v>22460938.645462304</v>
      </c>
      <c r="K33" s="144"/>
    </row>
    <row r="34" spans="1:12" ht="16.5" customHeight="1" x14ac:dyDescent="0.25">
      <c r="A34" s="54"/>
      <c r="B34" s="9"/>
      <c r="C34" s="9" t="s">
        <v>1676</v>
      </c>
      <c r="D34" s="140"/>
      <c r="E34" s="140"/>
      <c r="F34" s="141"/>
      <c r="G34" s="141"/>
      <c r="H34" s="142"/>
      <c r="I34" s="142"/>
      <c r="J34" s="144"/>
      <c r="K34" s="143">
        <v>22400435.235462304</v>
      </c>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v>60503.410000000149</v>
      </c>
    </row>
    <row r="36" spans="1:12" ht="16.5" customHeight="1" x14ac:dyDescent="0.25">
      <c r="A36" s="54"/>
      <c r="C36" s="16"/>
      <c r="D36" s="16"/>
      <c r="E36" s="16"/>
      <c r="F36" s="17"/>
      <c r="G36" s="17"/>
      <c r="H36" s="18"/>
      <c r="I36" s="18"/>
      <c r="J36" s="107">
        <f>SUM(J33:J35)</f>
        <v>22460938.645462304</v>
      </c>
      <c r="K36" s="107">
        <f>SUM(K33:K35)</f>
        <v>22460938.645462304</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22460938.645462304</v>
      </c>
      <c r="K41" s="144"/>
    </row>
    <row r="42" spans="1:12" ht="16.5" customHeight="1" x14ac:dyDescent="0.25">
      <c r="A42" s="54"/>
      <c r="B42" s="9"/>
      <c r="C42" s="9" t="s">
        <v>180</v>
      </c>
      <c r="D42" s="140"/>
      <c r="E42" s="140"/>
      <c r="F42" s="141"/>
      <c r="G42" s="141"/>
      <c r="H42" s="142"/>
      <c r="I42" s="142"/>
      <c r="J42" s="144"/>
      <c r="K42" s="143">
        <v>22460938.645462304</v>
      </c>
    </row>
    <row r="43" spans="1:12" ht="16.5" customHeight="1" x14ac:dyDescent="0.25">
      <c r="A43" s="54"/>
      <c r="B43" s="130" t="s">
        <v>1639</v>
      </c>
      <c r="C43" s="16"/>
      <c r="D43" s="16"/>
      <c r="E43" s="16"/>
      <c r="F43" s="17"/>
      <c r="G43" s="17"/>
      <c r="H43" s="18"/>
      <c r="I43" s="18"/>
      <c r="J43" s="107">
        <f>SUM(J39:J42)</f>
        <v>22460938.645462304</v>
      </c>
      <c r="K43" s="107">
        <f>SUM(K39:K42)</f>
        <v>22460938.645462304</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1677</v>
      </c>
      <c r="C47" s="9"/>
      <c r="D47" s="140"/>
      <c r="E47" s="140"/>
      <c r="F47" s="141"/>
      <c r="G47" s="141"/>
      <c r="H47" s="142"/>
      <c r="I47" s="142"/>
      <c r="J47" s="143">
        <v>22400435.235462304</v>
      </c>
      <c r="K47" s="144"/>
    </row>
    <row r="48" spans="1:12" ht="16.5" customHeight="1" x14ac:dyDescent="0.25">
      <c r="A48" s="165" t="s">
        <v>1645</v>
      </c>
      <c r="B48" s="9"/>
      <c r="C48" s="9" t="s">
        <v>173</v>
      </c>
      <c r="D48" s="140"/>
      <c r="E48" s="140"/>
      <c r="F48" s="141"/>
      <c r="G48" s="141"/>
      <c r="H48" s="142"/>
      <c r="I48" s="142"/>
      <c r="J48" s="144"/>
      <c r="K48" s="143">
        <v>22400435.235462304</v>
      </c>
    </row>
    <row r="49" spans="1:16" ht="16.5" customHeight="1" x14ac:dyDescent="0.25">
      <c r="A49" s="54"/>
      <c r="C49" s="16"/>
      <c r="D49" s="16"/>
      <c r="E49" s="16"/>
      <c r="F49" s="17"/>
      <c r="G49" s="17"/>
      <c r="H49" s="18"/>
      <c r="I49" s="18"/>
      <c r="J49" s="107">
        <f>SUM(J47:J48)</f>
        <v>22400435.235462304</v>
      </c>
      <c r="K49" s="107">
        <f>SUM(K47:K48)</f>
        <v>22400435.235462304</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20113219.679516971</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20113219.679516971</v>
      </c>
    </row>
    <row r="59" spans="1:16" ht="16.5" customHeight="1" x14ac:dyDescent="0.25">
      <c r="A59" s="54"/>
      <c r="C59" s="16"/>
      <c r="D59" s="16"/>
      <c r="E59" s="16"/>
      <c r="F59" s="17"/>
      <c r="G59" s="17"/>
      <c r="H59" s="18"/>
      <c r="I59" s="18"/>
      <c r="J59" s="107">
        <f>SUM(J55:J58)</f>
        <v>20113219.679516971</v>
      </c>
      <c r="K59" s="107">
        <f>SUM(K55:K58)</f>
        <v>20113219.679516971</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1679</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19938324.55708665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304299.39291334641</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20242623.950000007</v>
      </c>
    </row>
    <row r="65" spans="1:12" ht="16.5" customHeight="1" x14ac:dyDescent="0.25">
      <c r="A65" s="54"/>
      <c r="C65" s="16"/>
      <c r="D65" s="16"/>
      <c r="E65" s="16"/>
      <c r="F65" s="17"/>
      <c r="G65" s="17"/>
      <c r="H65" s="18"/>
      <c r="I65" s="18"/>
      <c r="J65" s="107">
        <f>SUM(J62:J64)</f>
        <v>20242623.949999996</v>
      </c>
      <c r="K65" s="107">
        <f>SUM(K62:K64)</f>
        <v>20242623.950000007</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19938324.55708665</v>
      </c>
      <c r="K68" s="144"/>
    </row>
    <row r="69" spans="1:12" ht="16.5" customHeight="1" x14ac:dyDescent="0.25">
      <c r="A69" s="54"/>
      <c r="B69" s="9"/>
      <c r="C69" s="9" t="s">
        <v>185</v>
      </c>
      <c r="D69" s="140"/>
      <c r="E69" s="140"/>
      <c r="F69" s="141"/>
      <c r="G69" s="141"/>
      <c r="H69" s="142"/>
      <c r="I69" s="142"/>
      <c r="J69" s="144"/>
      <c r="K69" s="143">
        <v>19938324.55708665</v>
      </c>
      <c r="L69" s="10" t="str">
        <f>IF($J$62=$K$69,"","&lt;- Accts 0848 must agree")</f>
        <v/>
      </c>
    </row>
    <row r="70" spans="1:12" ht="16.5" customHeight="1" x14ac:dyDescent="0.25">
      <c r="A70" s="54"/>
      <c r="C70" s="16"/>
      <c r="D70" s="16"/>
      <c r="E70" s="16"/>
      <c r="F70" s="17"/>
      <c r="G70" s="17"/>
      <c r="H70" s="18"/>
      <c r="I70" s="18"/>
      <c r="J70" s="107">
        <f>SUM(J68:J69)</f>
        <v>19938324.55708665</v>
      </c>
      <c r="K70" s="107">
        <f>SUM(K68:K69)</f>
        <v>19938324.55708665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20973205.347867493</v>
      </c>
      <c r="K75" s="144"/>
    </row>
    <row r="76" spans="1:12" ht="16.5" customHeight="1" x14ac:dyDescent="0.25">
      <c r="A76" s="54"/>
      <c r="B76" s="9"/>
      <c r="C76" s="9" t="s">
        <v>193</v>
      </c>
      <c r="D76" s="140"/>
      <c r="E76" s="140"/>
      <c r="F76" s="141"/>
      <c r="G76" s="141"/>
      <c r="H76" s="142"/>
      <c r="I76" s="142"/>
      <c r="J76" s="144"/>
      <c r="K76" s="143">
        <v>20973205.347867493</v>
      </c>
    </row>
    <row r="77" spans="1:12" ht="16.5" customHeight="1" x14ac:dyDescent="0.2">
      <c r="A77" s="54"/>
      <c r="B77" s="191" t="s">
        <v>1675</v>
      </c>
      <c r="C77" s="191"/>
      <c r="D77" s="191"/>
      <c r="E77" s="191"/>
      <c r="F77" s="191"/>
      <c r="G77" s="191"/>
      <c r="H77" s="191"/>
      <c r="I77" s="191"/>
      <c r="J77" s="107">
        <f>SUM(J75:J76)</f>
        <v>20973205.347867493</v>
      </c>
      <c r="K77" s="107">
        <f>SUM(K75:K76)</f>
        <v>20973205.347867493</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4765378.24</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4765378.24</v>
      </c>
    </row>
    <row r="91" spans="1:16" ht="16.5" customHeight="1" x14ac:dyDescent="0.25">
      <c r="B91" s="130" t="s">
        <v>1640</v>
      </c>
      <c r="H91" s="10"/>
      <c r="J91" s="108">
        <f>SUM(J85:J90)</f>
        <v>4765378.24</v>
      </c>
      <c r="K91" s="108">
        <f>SUM(K85:K90)</f>
        <v>4765378.24</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1685</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2031617.24</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v>548353.47</v>
      </c>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2545926.8200000003</v>
      </c>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v>34043.889999999665</v>
      </c>
    </row>
    <row r="105" spans="1:12" ht="16.5" customHeight="1" x14ac:dyDescent="0.25">
      <c r="B105" s="130" t="s">
        <v>1640</v>
      </c>
      <c r="H105" s="10"/>
      <c r="J105" s="108">
        <f>SUM(J96:J104)</f>
        <v>2579970.71</v>
      </c>
      <c r="K105" s="108">
        <f>SUM(K96:K104)</f>
        <v>2579970.71</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1680</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106666137.5854623</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-52164535.96951697</v>
      </c>
    </row>
    <row r="128" spans="1:12" ht="16.5" customHeight="1" x14ac:dyDescent="0.25">
      <c r="D128" s="140" t="s">
        <v>1656</v>
      </c>
      <c r="H128" s="10"/>
      <c r="K128" s="169">
        <f>-K23-K48+J68+J75+J96-K113</f>
        <v>-33958290.09050817</v>
      </c>
    </row>
    <row r="129" spans="4:11" ht="16.5" customHeight="1" x14ac:dyDescent="0.25">
      <c r="D129" s="140" t="s">
        <v>1657</v>
      </c>
      <c r="H129" s="10"/>
      <c r="K129" s="169">
        <f>-K76</f>
        <v>-20973205.347867493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65" priority="12">
      <formula>$J$62&lt;&gt;$K$69</formula>
    </cfRule>
  </conditionalFormatting>
  <conditionalFormatting sqref="L26:P26">
    <cfRule type="expression" dxfId="64" priority="1">
      <formula>$J$26&lt;&gt;$K$26</formula>
    </cfRule>
  </conditionalFormatting>
  <conditionalFormatting sqref="L36:P36">
    <cfRule type="expression" dxfId="63" priority="2">
      <formula>$J$36&lt;&gt;$K$36</formula>
    </cfRule>
  </conditionalFormatting>
  <conditionalFormatting sqref="L43:P43">
    <cfRule type="expression" dxfId="62" priority="3">
      <formula>$J$43&lt;&gt;$K$43</formula>
    </cfRule>
  </conditionalFormatting>
  <conditionalFormatting sqref="L49:P49">
    <cfRule type="expression" dxfId="61" priority="4">
      <formula>$J$49&lt;&gt;$K$49</formula>
    </cfRule>
  </conditionalFormatting>
  <conditionalFormatting sqref="L59:P59">
    <cfRule type="expression" dxfId="60" priority="5">
      <formula>$J$59&lt;&gt;$K$59</formula>
    </cfRule>
  </conditionalFormatting>
  <conditionalFormatting sqref="L65:P65">
    <cfRule type="expression" dxfId="59" priority="6">
      <formula>$J$65&lt;&gt;$K$65</formula>
    </cfRule>
  </conditionalFormatting>
  <conditionalFormatting sqref="L70:P70">
    <cfRule type="expression" dxfId="58" priority="7">
      <formula>$J$70&lt;&gt;$K$70</formula>
    </cfRule>
  </conditionalFormatting>
  <conditionalFormatting sqref="L77:P77">
    <cfRule type="expression" dxfId="57" priority="8">
      <formula>$J$77&lt;&gt;$K$77</formula>
    </cfRule>
  </conditionalFormatting>
  <conditionalFormatting sqref="L91:P91">
    <cfRule type="expression" dxfId="56" priority="9">
      <formula>$J$91&lt;&gt;$K$91</formula>
    </cfRule>
  </conditionalFormatting>
  <conditionalFormatting sqref="L105:P105">
    <cfRule type="expression" dxfId="55" priority="10">
      <formula>$J$105&lt;&gt;$K$105</formula>
    </cfRule>
  </conditionalFormatting>
  <conditionalFormatting sqref="L114:P114">
    <cfRule type="expression" dxfId="54"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B939E-042C-456D-86AC-73624A0120DC}">
  <sheetPr>
    <tabColor theme="9" tint="0.59999389629810485"/>
    <pageSetUpPr fitToPage="1"/>
  </sheetPr>
  <dimension ref="A1:T193"/>
  <sheetViews>
    <sheetView tabSelected="1" zoomScale="70" zoomScaleNormal="70" workbookViewId="0">
      <selection activeCell="P7" sqref="P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1732</v>
      </c>
      <c r="G4" s="194"/>
      <c r="H4" s="194"/>
      <c r="I4" s="194"/>
    </row>
    <row r="5" spans="1:20" ht="16.5" customHeight="1" x14ac:dyDescent="0.2">
      <c r="A5" s="188" t="s">
        <v>1615</v>
      </c>
      <c r="B5" s="188"/>
      <c r="C5" s="188"/>
      <c r="D5" s="188"/>
      <c r="E5" s="188"/>
      <c r="F5" s="194" t="s">
        <v>676</v>
      </c>
      <c r="G5" s="194"/>
      <c r="H5" s="194"/>
      <c r="I5" s="194"/>
      <c r="L5" s="12"/>
      <c r="M5" s="12"/>
      <c r="N5" s="12"/>
      <c r="O5" s="12"/>
      <c r="P5" s="12"/>
      <c r="Q5" s="12"/>
    </row>
    <row r="6" spans="1:20" ht="16.5" customHeight="1" x14ac:dyDescent="0.25">
      <c r="A6" s="188" t="s">
        <v>1634</v>
      </c>
      <c r="B6" s="188"/>
      <c r="C6" s="188"/>
      <c r="D6" s="188"/>
      <c r="E6" s="188"/>
      <c r="F6" s="195">
        <v>46</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TRANSPORTATION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1687</v>
      </c>
    </row>
    <row r="16" spans="1:20" ht="16.5" customHeight="1" x14ac:dyDescent="0.25">
      <c r="A16" s="159" t="s">
        <v>1637</v>
      </c>
      <c r="B16" s="9" t="s">
        <v>171</v>
      </c>
      <c r="C16" s="9"/>
      <c r="D16" s="9"/>
      <c r="E16" s="140"/>
      <c r="F16" s="141"/>
      <c r="G16" s="141"/>
      <c r="H16" s="142"/>
      <c r="I16" s="142"/>
      <c r="J16" s="178">
        <f>M16</f>
        <v>17089708</v>
      </c>
      <c r="M16" s="143">
        <v>17089708</v>
      </c>
      <c r="P16" s="143">
        <v>17089708</v>
      </c>
      <c r="Q16" s="155"/>
      <c r="S16" s="154">
        <f t="shared" si="0"/>
        <v>0</v>
      </c>
      <c r="T16" s="180" t="s">
        <v>1687</v>
      </c>
    </row>
    <row r="17" spans="1:20" ht="16.5" customHeight="1" x14ac:dyDescent="0.25">
      <c r="A17" s="159" t="s">
        <v>1637</v>
      </c>
      <c r="B17" s="9" t="s">
        <v>172</v>
      </c>
      <c r="C17" s="9"/>
      <c r="D17" s="9"/>
      <c r="E17" s="140"/>
      <c r="F17" s="141"/>
      <c r="G17" s="141"/>
      <c r="H17" s="142"/>
      <c r="I17" s="142"/>
      <c r="J17" s="178">
        <f>M17</f>
        <v>0</v>
      </c>
      <c r="M17" s="143">
        <v>0</v>
      </c>
      <c r="P17" s="143">
        <v>0</v>
      </c>
      <c r="Q17" s="155"/>
      <c r="S17" s="154">
        <f t="shared" si="0"/>
        <v>0</v>
      </c>
      <c r="T17" s="180" t="s">
        <v>1687</v>
      </c>
    </row>
    <row r="18" spans="1:20" ht="16.5" customHeight="1" x14ac:dyDescent="0.25">
      <c r="A18" s="54"/>
      <c r="B18" s="9" t="s">
        <v>168</v>
      </c>
      <c r="C18" s="9"/>
      <c r="D18" s="9"/>
      <c r="E18" s="140"/>
      <c r="F18" s="141"/>
      <c r="G18" s="141"/>
      <c r="H18" s="142"/>
      <c r="I18" s="142"/>
      <c r="J18" s="178">
        <f>P18</f>
        <v>0</v>
      </c>
      <c r="M18" s="143">
        <v>0</v>
      </c>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2010554</v>
      </c>
      <c r="N21" s="143">
        <v>2010554</v>
      </c>
      <c r="P21" s="155"/>
      <c r="Q21" s="143">
        <v>2010554</v>
      </c>
      <c r="S21" s="154">
        <f>Q21-N21</f>
        <v>0</v>
      </c>
      <c r="T21" s="179" t="s">
        <v>1668</v>
      </c>
    </row>
    <row r="22" spans="1:20" ht="16.5" customHeight="1" x14ac:dyDescent="0.25">
      <c r="A22" s="54"/>
      <c r="B22" s="9"/>
      <c r="C22" s="9" t="s">
        <v>178</v>
      </c>
      <c r="D22" s="9"/>
      <c r="E22" s="140"/>
      <c r="F22" s="141"/>
      <c r="G22" s="141"/>
      <c r="H22" s="142"/>
      <c r="I22" s="142"/>
      <c r="J22" s="150"/>
      <c r="K22" s="178">
        <f>N22</f>
        <v>0</v>
      </c>
      <c r="N22" s="143"/>
      <c r="P22" s="155"/>
      <c r="Q22" s="143"/>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15079152</v>
      </c>
      <c r="N23" s="143">
        <v>15079152</v>
      </c>
      <c r="P23" s="155"/>
      <c r="Q23" s="143">
        <v>15079153</v>
      </c>
      <c r="S23" s="154">
        <f t="shared" si="1"/>
        <v>1</v>
      </c>
      <c r="T23" s="179" t="s">
        <v>1668</v>
      </c>
    </row>
    <row r="24" spans="1:20" ht="16.5" customHeight="1" x14ac:dyDescent="0.25">
      <c r="A24" s="54"/>
      <c r="B24" s="9"/>
      <c r="C24" s="9" t="s">
        <v>175</v>
      </c>
      <c r="D24" s="9"/>
      <c r="E24" s="140"/>
      <c r="F24" s="141"/>
      <c r="G24" s="141"/>
      <c r="H24" s="142"/>
      <c r="I24" s="142"/>
      <c r="J24" s="150"/>
      <c r="K24" s="178">
        <f>Q24</f>
        <v>1</v>
      </c>
      <c r="N24" s="143">
        <v>-1.608121071010828</v>
      </c>
      <c r="P24" s="155"/>
      <c r="Q24" s="152">
        <f>IF(SUM($Q$20:$Q$23)&lt;SUM($P$15:$P$17),-SUM($Q$20:$Q$23)+SUM($P$15:$P$17),0)</f>
        <v>1</v>
      </c>
      <c r="S24" s="154">
        <f t="shared" si="1"/>
        <v>2.608121071010828</v>
      </c>
      <c r="T24" s="179" t="s">
        <v>1668</v>
      </c>
    </row>
    <row r="25" spans="1:20" ht="16.5" customHeight="1" x14ac:dyDescent="0.25">
      <c r="A25" s="54"/>
      <c r="B25" s="9"/>
      <c r="C25" s="9" t="s">
        <v>176</v>
      </c>
      <c r="D25" s="9"/>
      <c r="E25" s="140"/>
      <c r="F25" s="141"/>
      <c r="G25" s="141"/>
      <c r="H25" s="142"/>
      <c r="I25" s="142"/>
      <c r="J25" s="150"/>
      <c r="K25" s="178">
        <f>IF(SUM($K$20:$K$24)&lt;SUM($J$15:$J$18),-SUM($K$20:$K$24)+SUM($J$15:$J$18),0)</f>
        <v>1</v>
      </c>
      <c r="N25" s="143"/>
      <c r="P25" s="155"/>
      <c r="Q25" s="155"/>
      <c r="S25" s="154">
        <f t="shared" si="1"/>
        <v>0</v>
      </c>
      <c r="T25" s="179" t="s">
        <v>1668</v>
      </c>
    </row>
    <row r="26" spans="1:20" ht="16.5" customHeight="1" x14ac:dyDescent="0.25">
      <c r="A26" s="54"/>
      <c r="C26" s="20"/>
      <c r="D26" s="20"/>
      <c r="E26" s="20"/>
      <c r="F26" s="127"/>
      <c r="G26" s="127"/>
      <c r="H26" s="22"/>
      <c r="I26" s="22"/>
      <c r="J26" s="107">
        <f>SUM(J15:J25)</f>
        <v>17089708</v>
      </c>
      <c r="K26" s="107">
        <f>SUM(K15:K25)</f>
        <v>17089708</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1678</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1676</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1677</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12063322.965432333</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v>12063322.965432333</v>
      </c>
    </row>
    <row r="58" spans="1:16" ht="16.5" customHeight="1" x14ac:dyDescent="0.25">
      <c r="A58" s="54"/>
      <c r="B58" s="9"/>
      <c r="C58" s="9" t="s">
        <v>178</v>
      </c>
      <c r="D58" s="140"/>
      <c r="E58" s="140"/>
      <c r="F58" s="141"/>
      <c r="G58" s="141"/>
      <c r="H58" s="142"/>
      <c r="I58" s="142"/>
      <c r="J58" s="144"/>
      <c r="K58" s="143"/>
    </row>
    <row r="59" spans="1:16" ht="16.5" customHeight="1" x14ac:dyDescent="0.25">
      <c r="A59" s="54"/>
      <c r="C59" s="16"/>
      <c r="D59" s="16"/>
      <c r="E59" s="16"/>
      <c r="F59" s="17"/>
      <c r="G59" s="17"/>
      <c r="H59" s="18"/>
      <c r="I59" s="18"/>
      <c r="J59" s="107">
        <f>SUM(J55:J58)</f>
        <v>12063322.965432333</v>
      </c>
      <c r="K59" s="107">
        <f>SUM(K55:K58)</f>
        <v>12063322.965432333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1679</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12059701.959235745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22930.04076425634</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12082632</v>
      </c>
    </row>
    <row r="65" spans="1:12" ht="16.5" customHeight="1" x14ac:dyDescent="0.25">
      <c r="A65" s="54"/>
      <c r="C65" s="16"/>
      <c r="D65" s="16"/>
      <c r="E65" s="16"/>
      <c r="F65" s="17"/>
      <c r="G65" s="17"/>
      <c r="H65" s="18"/>
      <c r="I65" s="18"/>
      <c r="J65" s="107">
        <f>SUM(J62:J64)</f>
        <v>12082632</v>
      </c>
      <c r="K65" s="107">
        <f>SUM(K62:K64)</f>
        <v>12082632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12059701.959235745</v>
      </c>
      <c r="K68" s="144"/>
    </row>
    <row r="69" spans="1:12" ht="16.5" customHeight="1" x14ac:dyDescent="0.25">
      <c r="A69" s="54"/>
      <c r="B69" s="9"/>
      <c r="C69" s="9" t="s">
        <v>185</v>
      </c>
      <c r="D69" s="140"/>
      <c r="E69" s="140"/>
      <c r="F69" s="141"/>
      <c r="G69" s="141"/>
      <c r="H69" s="142"/>
      <c r="I69" s="142"/>
      <c r="J69" s="144"/>
      <c r="K69" s="143">
        <v>12059701.959235745</v>
      </c>
      <c r="L69" s="10" t="str">
        <f>IF($J$62=$K$69,"","&lt;- Accts 0848 must agree")</f>
        <v/>
      </c>
    </row>
    <row r="70" spans="1:12" ht="16.5" customHeight="1" x14ac:dyDescent="0.25">
      <c r="A70" s="54"/>
      <c r="C70" s="16"/>
      <c r="D70" s="16"/>
      <c r="E70" s="16"/>
      <c r="F70" s="17"/>
      <c r="G70" s="17"/>
      <c r="H70" s="18"/>
      <c r="I70" s="18"/>
      <c r="J70" s="107">
        <f>SUM(J68:J69)</f>
        <v>12059701.959235745</v>
      </c>
      <c r="K70" s="107">
        <f>SUM(K68:K69)</f>
        <v>12059701.959235745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3019450.1394336075</v>
      </c>
      <c r="K75" s="144"/>
    </row>
    <row r="76" spans="1:12" ht="16.5" customHeight="1" x14ac:dyDescent="0.25">
      <c r="A76" s="54"/>
      <c r="B76" s="9"/>
      <c r="C76" s="9" t="s">
        <v>193</v>
      </c>
      <c r="D76" s="140"/>
      <c r="E76" s="140"/>
      <c r="F76" s="141"/>
      <c r="G76" s="141"/>
      <c r="H76" s="142"/>
      <c r="I76" s="142"/>
      <c r="J76" s="144"/>
      <c r="K76" s="143">
        <v>3019450.1394336075</v>
      </c>
    </row>
    <row r="77" spans="1:12" ht="16.5" customHeight="1" x14ac:dyDescent="0.2">
      <c r="A77" s="54"/>
      <c r="B77" s="191" t="s">
        <v>1675</v>
      </c>
      <c r="C77" s="191"/>
      <c r="D77" s="191"/>
      <c r="E77" s="191"/>
      <c r="F77" s="191"/>
      <c r="G77" s="191"/>
      <c r="H77" s="191"/>
      <c r="I77" s="191"/>
      <c r="J77" s="107">
        <f>SUM(J75:J76)</f>
        <v>3019450.1394336075</v>
      </c>
      <c r="K77" s="107">
        <f>SUM(K75:K76)</f>
        <v>3019450.1394336075</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1685</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1680</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17089708</v>
      </c>
    </row>
    <row r="124" spans="1:12" ht="16.5" customHeight="1" x14ac:dyDescent="0.25">
      <c r="D124" s="140" t="s">
        <v>1652</v>
      </c>
      <c r="H124" s="10"/>
      <c r="K124" s="169">
        <f>J17+J41-K90-K103+J112</f>
        <v>0</v>
      </c>
    </row>
    <row r="125" spans="1:12" ht="16.5" customHeight="1" x14ac:dyDescent="0.25">
      <c r="D125" s="140" t="s">
        <v>1653</v>
      </c>
      <c r="H125" s="10"/>
      <c r="K125" s="169">
        <f>-K20-K56+J85+J97</f>
        <v>0</v>
      </c>
    </row>
    <row r="126" spans="1:12" ht="16.5" customHeight="1" x14ac:dyDescent="0.25">
      <c r="D126" s="140" t="s">
        <v>1654</v>
      </c>
      <c r="H126" s="10"/>
      <c r="K126" s="169">
        <f>-K21-K57+J86+J98</f>
        <v>-14073876.965432333</v>
      </c>
    </row>
    <row r="127" spans="1:12" ht="16.5" customHeight="1" x14ac:dyDescent="0.25">
      <c r="D127" s="140" t="s">
        <v>1655</v>
      </c>
      <c r="H127" s="10"/>
      <c r="K127" s="169">
        <f>-K22-K58+J87+J99</f>
        <v>0</v>
      </c>
    </row>
    <row r="128" spans="1:12" ht="16.5" customHeight="1" x14ac:dyDescent="0.25">
      <c r="D128" s="140" t="s">
        <v>1656</v>
      </c>
      <c r="H128" s="10"/>
      <c r="K128" s="169">
        <f>-K23-K48+J68+J75+J96-K113</f>
        <v>9.8669352009892464E-2</v>
      </c>
    </row>
    <row r="129" spans="4:11" ht="16.5" customHeight="1" x14ac:dyDescent="0.25">
      <c r="D129" s="140" t="s">
        <v>1657</v>
      </c>
      <c r="H129" s="10"/>
      <c r="K129" s="169">
        <f>-K76</f>
        <v>-3019450.1394336075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type="textLength" operator="equal" allowBlank="1" showInputMessage="1" showErrorMessage="1" errorTitle="4-Digit Org Code" error="Enter the Org Code/BU as 4 digits." sqref="F5" xr:uid="{8138C084-32AB-4E9A-8394-B77641B6DB6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7D3C765-A902-48C2-873C-7CD0F88FA19A}">
      <formula1>0</formula1>
    </dataValidation>
    <dataValidation operator="lessThan" allowBlank="1" showInputMessage="1" showErrorMessage="1" sqref="A3:A8" xr:uid="{E8B0399A-D340-49A8-8F21-A142BB90F88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5D93447F-831F-47D7-B521-ABA34F075F03}">
          <x14:formula1>
            <xm:f>'Drop Down Menus'!$E$1:$E$3</xm:f>
          </x14:formula1>
          <xm:sqref>F8</xm:sqref>
        </x14:dataValidation>
        <x14:dataValidation type="list" allowBlank="1" showInputMessage="1" showErrorMessage="1" xr:uid="{5EDF7824-D864-41E8-A009-97AEC7380B3B}">
          <x14:formula1>
            <xm:f>'Drop Down Menus'!$B$1:$B$2</xm:f>
          </x14:formula1>
          <xm:sqref>F7</xm:sqref>
        </x14:dataValidation>
        <x14:dataValidation type="list" allowBlank="1" showInputMessage="1" showErrorMessage="1" xr:uid="{53550C2C-9FD2-4C03-A1DD-2D16FDDE218F}">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F8B7D-35D2-47F8-BB83-CDF4C0A457A7}">
  <sheetPr>
    <tabColor theme="9" tint="0.59999389629810485"/>
    <pageSetUpPr fitToPage="1"/>
  </sheetPr>
  <dimension ref="A1:T193"/>
  <sheetViews>
    <sheetView topLeftCell="A81" zoomScale="70" zoomScaleNormal="70" workbookViewId="0">
      <selection activeCell="K90" sqref="K90"/>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1732</v>
      </c>
      <c r="G4" s="194"/>
      <c r="H4" s="194"/>
      <c r="I4" s="194"/>
    </row>
    <row r="5" spans="1:20" ht="16.5" customHeight="1" x14ac:dyDescent="0.2">
      <c r="A5" s="188" t="s">
        <v>1615</v>
      </c>
      <c r="B5" s="188"/>
      <c r="C5" s="188"/>
      <c r="D5" s="188"/>
      <c r="E5" s="188"/>
      <c r="F5" s="194" t="s">
        <v>676</v>
      </c>
      <c r="G5" s="194"/>
      <c r="H5" s="194"/>
      <c r="I5" s="194"/>
      <c r="L5" s="12"/>
      <c r="M5" s="12"/>
      <c r="N5" s="12"/>
      <c r="O5" s="12"/>
      <c r="P5" s="12"/>
      <c r="Q5" s="12"/>
    </row>
    <row r="6" spans="1:20" ht="16.5" customHeight="1" x14ac:dyDescent="0.25">
      <c r="A6" s="188" t="s">
        <v>1634</v>
      </c>
      <c r="B6" s="188"/>
      <c r="C6" s="188"/>
      <c r="D6" s="188"/>
      <c r="E6" s="188"/>
      <c r="F6" s="195">
        <v>3290</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TRANSPORTATION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1687</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1687</v>
      </c>
    </row>
    <row r="17" spans="1:20" ht="16.5" customHeight="1" x14ac:dyDescent="0.25">
      <c r="A17" s="159" t="s">
        <v>1637</v>
      </c>
      <c r="B17" s="9" t="s">
        <v>172</v>
      </c>
      <c r="C17" s="9"/>
      <c r="D17" s="9"/>
      <c r="E17" s="140"/>
      <c r="F17" s="141"/>
      <c r="G17" s="141"/>
      <c r="H17" s="142"/>
      <c r="I17" s="142"/>
      <c r="J17" s="178">
        <f>M17</f>
        <v>9654615.8977623675</v>
      </c>
      <c r="M17" s="143">
        <v>9654615.8977623675</v>
      </c>
      <c r="P17" s="143">
        <v>9654616</v>
      </c>
      <c r="Q17" s="155"/>
      <c r="S17" s="154">
        <f t="shared" si="0"/>
        <v>0.1022376324981451</v>
      </c>
      <c r="T17" s="180" t="s">
        <v>1687</v>
      </c>
    </row>
    <row r="18" spans="1:20" ht="16.5" customHeight="1" x14ac:dyDescent="0.25">
      <c r="A18" s="54"/>
      <c r="B18" s="9" t="s">
        <v>168</v>
      </c>
      <c r="C18" s="9"/>
      <c r="D18" s="9"/>
      <c r="E18" s="140"/>
      <c r="F18" s="141"/>
      <c r="G18" s="141"/>
      <c r="H18" s="142"/>
      <c r="I18" s="142"/>
      <c r="J18" s="178">
        <f>P18</f>
        <v>26766</v>
      </c>
      <c r="M18" s="143">
        <v>26766.119702864758</v>
      </c>
      <c r="P18" s="152">
        <f>IF(SUM($Q$20:$Q$23)&gt;SUM($P$15:$P$17),SUM($Q$20:$Q$23)-SUM($P$15:$P$17),0)</f>
        <v>26766</v>
      </c>
      <c r="Q18" s="155"/>
      <c r="S18" s="154">
        <f t="shared" si="0"/>
        <v>-0.1197028647584375</v>
      </c>
      <c r="T18" s="179" t="s">
        <v>1668</v>
      </c>
    </row>
    <row r="19" spans="1:20" ht="16.5" customHeight="1" x14ac:dyDescent="0.25">
      <c r="A19" s="54"/>
      <c r="B19" s="9" t="s">
        <v>169</v>
      </c>
      <c r="C19" s="9"/>
      <c r="D19" s="9"/>
      <c r="E19" s="140"/>
      <c r="F19" s="141"/>
      <c r="G19" s="141"/>
      <c r="H19" s="142"/>
      <c r="I19" s="142"/>
      <c r="J19" s="178">
        <f>IF(SUM($K$20:$K$24)&gt;SUM($J$15:$J$18),SUM($K$20:$K$24)-SUM($J$15:$J$18),0)</f>
        <v>0.11970286630094051</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2606165.7039593505</v>
      </c>
      <c r="N22" s="143">
        <v>2606165.7039593505</v>
      </c>
      <c r="P22" s="155"/>
      <c r="Q22" s="143">
        <v>2606166</v>
      </c>
      <c r="S22" s="154">
        <f t="shared" ref="S22:S25" si="1">Q22-N22</f>
        <v>0.29604064952582121</v>
      </c>
      <c r="T22" s="179" t="s">
        <v>1668</v>
      </c>
    </row>
    <row r="23" spans="1:20" ht="16.5" customHeight="1" x14ac:dyDescent="0.25">
      <c r="A23" s="165" t="s">
        <v>1645</v>
      </c>
      <c r="B23" s="9"/>
      <c r="C23" s="9" t="s">
        <v>173</v>
      </c>
      <c r="D23" s="9"/>
      <c r="E23" s="140"/>
      <c r="F23" s="141"/>
      <c r="G23" s="141"/>
      <c r="H23" s="142"/>
      <c r="I23" s="142"/>
      <c r="J23" s="150"/>
      <c r="K23" s="178">
        <f>N23</f>
        <v>7075216.3135058833</v>
      </c>
      <c r="N23" s="143">
        <v>7075216.3135058833</v>
      </c>
      <c r="P23" s="155"/>
      <c r="Q23" s="143">
        <v>7075216</v>
      </c>
      <c r="S23" s="154">
        <f t="shared" si="1"/>
        <v>-0.31350588332861662</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9681382.0174652338</v>
      </c>
      <c r="K26" s="107">
        <f>SUM(K15:K25)</f>
        <v>9681382.0174652338</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1678</v>
      </c>
      <c r="D32" s="138"/>
      <c r="E32" s="138"/>
      <c r="F32" s="139"/>
      <c r="G32" s="139"/>
      <c r="H32" s="130"/>
      <c r="I32" s="130"/>
      <c r="J32" s="134"/>
      <c r="K32" s="134"/>
    </row>
    <row r="33" spans="1:12" ht="16.5" customHeight="1" x14ac:dyDescent="0.25">
      <c r="B33" s="9" t="s">
        <v>179</v>
      </c>
      <c r="C33" s="9"/>
      <c r="D33" s="140"/>
      <c r="E33" s="140"/>
      <c r="F33" s="141"/>
      <c r="G33" s="141"/>
      <c r="H33" s="142"/>
      <c r="I33" s="142"/>
      <c r="J33" s="143">
        <v>3132600</v>
      </c>
      <c r="K33" s="144"/>
    </row>
    <row r="34" spans="1:12" ht="16.5" customHeight="1" x14ac:dyDescent="0.25">
      <c r="A34" s="54"/>
      <c r="B34" s="9"/>
      <c r="C34" s="9" t="s">
        <v>1676</v>
      </c>
      <c r="D34" s="140"/>
      <c r="E34" s="140"/>
      <c r="F34" s="141"/>
      <c r="G34" s="141"/>
      <c r="H34" s="142"/>
      <c r="I34" s="142"/>
      <c r="J34" s="144"/>
      <c r="K34" s="143">
        <v>3096843</v>
      </c>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v>35757</v>
      </c>
    </row>
    <row r="36" spans="1:12" ht="16.5" customHeight="1" x14ac:dyDescent="0.25">
      <c r="A36" s="54"/>
      <c r="C36" s="16"/>
      <c r="D36" s="16"/>
      <c r="E36" s="16"/>
      <c r="F36" s="17"/>
      <c r="G36" s="17"/>
      <c r="H36" s="18"/>
      <c r="I36" s="18"/>
      <c r="J36" s="107">
        <f>SUM(J33:J35)</f>
        <v>3132600</v>
      </c>
      <c r="K36" s="107">
        <f>SUM(K33:K35)</f>
        <v>3132600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3132600</v>
      </c>
      <c r="K41" s="144"/>
    </row>
    <row r="42" spans="1:12" ht="16.5" customHeight="1" x14ac:dyDescent="0.25">
      <c r="A42" s="54"/>
      <c r="B42" s="9"/>
      <c r="C42" s="9" t="s">
        <v>180</v>
      </c>
      <c r="D42" s="140"/>
      <c r="E42" s="140"/>
      <c r="F42" s="141"/>
      <c r="G42" s="141"/>
      <c r="H42" s="142"/>
      <c r="I42" s="142"/>
      <c r="J42" s="144"/>
      <c r="K42" s="143">
        <v>3132600</v>
      </c>
    </row>
    <row r="43" spans="1:12" ht="16.5" customHeight="1" x14ac:dyDescent="0.25">
      <c r="A43" s="54"/>
      <c r="B43" s="130" t="s">
        <v>1639</v>
      </c>
      <c r="C43" s="16"/>
      <c r="D43" s="16"/>
      <c r="E43" s="16"/>
      <c r="F43" s="17"/>
      <c r="G43" s="17"/>
      <c r="H43" s="18"/>
      <c r="I43" s="18"/>
      <c r="J43" s="107">
        <f>SUM(J39:J42)</f>
        <v>3132600</v>
      </c>
      <c r="K43" s="107">
        <f>SUM(K39:K42)</f>
        <v>3132600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1677</v>
      </c>
      <c r="C47" s="9"/>
      <c r="D47" s="140"/>
      <c r="E47" s="140"/>
      <c r="F47" s="141"/>
      <c r="G47" s="141"/>
      <c r="H47" s="142"/>
      <c r="I47" s="142"/>
      <c r="J47" s="143">
        <v>3096843</v>
      </c>
      <c r="K47" s="144"/>
    </row>
    <row r="48" spans="1:12" ht="16.5" customHeight="1" x14ac:dyDescent="0.25">
      <c r="A48" s="165" t="s">
        <v>1645</v>
      </c>
      <c r="B48" s="9"/>
      <c r="C48" s="9" t="s">
        <v>173</v>
      </c>
      <c r="D48" s="140"/>
      <c r="E48" s="140"/>
      <c r="F48" s="141"/>
      <c r="G48" s="141"/>
      <c r="H48" s="142"/>
      <c r="I48" s="142"/>
      <c r="J48" s="144"/>
      <c r="K48" s="143">
        <v>3096843</v>
      </c>
    </row>
    <row r="49" spans="1:16" ht="16.5" customHeight="1" x14ac:dyDescent="0.25">
      <c r="A49" s="54"/>
      <c r="C49" s="16"/>
      <c r="D49" s="16"/>
      <c r="E49" s="16"/>
      <c r="F49" s="17"/>
      <c r="G49" s="17"/>
      <c r="H49" s="18"/>
      <c r="I49" s="18"/>
      <c r="J49" s="107">
        <f>SUM(J47:J48)</f>
        <v>3096843</v>
      </c>
      <c r="K49" s="107">
        <f>SUM(K47:K48)</f>
        <v>3096843</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2726131</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2726131</v>
      </c>
    </row>
    <row r="59" spans="1:16" ht="16.5" customHeight="1" x14ac:dyDescent="0.25">
      <c r="A59" s="54"/>
      <c r="C59" s="16"/>
      <c r="D59" s="16"/>
      <c r="E59" s="16"/>
      <c r="F59" s="17"/>
      <c r="G59" s="17"/>
      <c r="H59" s="18"/>
      <c r="I59" s="18"/>
      <c r="J59" s="107">
        <f>SUM(J55:J58)</f>
        <v>2726131</v>
      </c>
      <c r="K59" s="107">
        <f>SUM(K55:K58)</f>
        <v>2726131</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1679</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2650049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57101</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2707150</v>
      </c>
    </row>
    <row r="65" spans="1:12" ht="16.5" customHeight="1" x14ac:dyDescent="0.25">
      <c r="A65" s="54"/>
      <c r="C65" s="16"/>
      <c r="D65" s="16"/>
      <c r="E65" s="16"/>
      <c r="F65" s="17"/>
      <c r="G65" s="17"/>
      <c r="H65" s="18"/>
      <c r="I65" s="18"/>
      <c r="J65" s="107">
        <f>SUM(J62:J64)</f>
        <v>2707150</v>
      </c>
      <c r="K65" s="107">
        <f>SUM(K62:K64)</f>
        <v>2707150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2650049</v>
      </c>
      <c r="K68" s="144"/>
    </row>
    <row r="69" spans="1:12" ht="16.5" customHeight="1" x14ac:dyDescent="0.25">
      <c r="A69" s="54"/>
      <c r="B69" s="9"/>
      <c r="C69" s="9" t="s">
        <v>185</v>
      </c>
      <c r="D69" s="140"/>
      <c r="E69" s="140"/>
      <c r="F69" s="141"/>
      <c r="G69" s="141"/>
      <c r="H69" s="142"/>
      <c r="I69" s="142"/>
      <c r="J69" s="144"/>
      <c r="K69" s="143">
        <v>2650049</v>
      </c>
      <c r="L69" s="10" t="str">
        <f>IF($J$62=$K$69,"","&lt;- Accts 0848 must agree")</f>
        <v/>
      </c>
    </row>
    <row r="70" spans="1:12" ht="16.5" customHeight="1" x14ac:dyDescent="0.25">
      <c r="A70" s="54"/>
      <c r="C70" s="16"/>
      <c r="D70" s="16"/>
      <c r="E70" s="16"/>
      <c r="F70" s="17"/>
      <c r="G70" s="17"/>
      <c r="H70" s="18"/>
      <c r="I70" s="18"/>
      <c r="J70" s="107">
        <f>SUM(J68:J69)</f>
        <v>2650049</v>
      </c>
      <c r="K70" s="107">
        <f>SUM(K68:K69)</f>
        <v>2650049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2463504</v>
      </c>
      <c r="K75" s="144"/>
    </row>
    <row r="76" spans="1:12" ht="16.5" customHeight="1" x14ac:dyDescent="0.25">
      <c r="A76" s="54"/>
      <c r="B76" s="9"/>
      <c r="C76" s="9" t="s">
        <v>193</v>
      </c>
      <c r="D76" s="140"/>
      <c r="E76" s="140"/>
      <c r="F76" s="141"/>
      <c r="G76" s="141"/>
      <c r="H76" s="142"/>
      <c r="I76" s="142"/>
      <c r="J76" s="144"/>
      <c r="K76" s="143">
        <v>2463504</v>
      </c>
    </row>
    <row r="77" spans="1:12" ht="16.5" customHeight="1" x14ac:dyDescent="0.2">
      <c r="A77" s="54"/>
      <c r="B77" s="191" t="s">
        <v>1675</v>
      </c>
      <c r="C77" s="191"/>
      <c r="D77" s="191"/>
      <c r="E77" s="191"/>
      <c r="F77" s="191"/>
      <c r="G77" s="191"/>
      <c r="H77" s="191"/>
      <c r="I77" s="191"/>
      <c r="J77" s="107">
        <f>SUM(J75:J76)</f>
        <v>2463504</v>
      </c>
      <c r="K77" s="107">
        <f>SUM(K75:K76)</f>
        <v>2463504</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672258.36</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672258.36</v>
      </c>
    </row>
    <row r="91" spans="1:16" ht="16.5" customHeight="1" x14ac:dyDescent="0.25">
      <c r="B91" s="130" t="s">
        <v>1640</v>
      </c>
      <c r="H91" s="10"/>
      <c r="J91" s="108">
        <f>SUM(J85:J90)</f>
        <v>672258.36</v>
      </c>
      <c r="K91" s="108">
        <f>SUM(K85:K90)</f>
        <v>672258.36</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1685</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1680</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12114957.537762368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-4660038.3439593501</v>
      </c>
    </row>
    <row r="128" spans="1:12" ht="16.5" customHeight="1" x14ac:dyDescent="0.25">
      <c r="D128" s="140" t="s">
        <v>1656</v>
      </c>
      <c r="H128" s="10"/>
      <c r="K128" s="169">
        <f>-K23-K48+J68+J75+J96-K113</f>
        <v>-5058506.3135058843</v>
      </c>
    </row>
    <row r="129" spans="4:11" ht="16.5" customHeight="1" x14ac:dyDescent="0.25">
      <c r="D129" s="140" t="s">
        <v>1657</v>
      </c>
      <c r="H129" s="10"/>
      <c r="K129" s="169">
        <f>-K76</f>
        <v>-2463504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operator="lessThan" allowBlank="1" showInputMessage="1" showErrorMessage="1" sqref="A3:A8" xr:uid="{180CD8B9-80D1-4A9F-BD28-2AC3529857C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20C8EF2-8EAE-4335-B11E-29141DCE056A}">
      <formula1>0</formula1>
    </dataValidation>
    <dataValidation type="textLength" operator="equal" allowBlank="1" showInputMessage="1" showErrorMessage="1" errorTitle="4-Digit Org Code" error="Enter the Org Code/BU as 4 digits." sqref="F5" xr:uid="{6B71F417-BB39-4D80-BF61-27A4B02358CB}">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1C033DF0-EBCF-471D-B42B-EC319D1E2166}">
          <x14:formula1>
            <xm:f>'Drop Down Menus'!$A$1:$A$101</xm:f>
          </x14:formula1>
          <xm:sqref>F3</xm:sqref>
        </x14:dataValidation>
        <x14:dataValidation type="list" allowBlank="1" showInputMessage="1" showErrorMessage="1" xr:uid="{6A46FB34-D5F0-458B-96FF-7DA89C7970B8}">
          <x14:formula1>
            <xm:f>'Drop Down Menus'!$B$1:$B$2</xm:f>
          </x14:formula1>
          <xm:sqref>F7</xm:sqref>
        </x14:dataValidation>
        <x14:dataValidation type="list" allowBlank="1" showInputMessage="1" showErrorMessage="1" xr:uid="{EE64907E-4E07-4CCD-BCFB-4E4D60E8BBBF}">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11CA-9F2F-49B1-B0D1-0A7BCA77C264}">
  <sheetPr>
    <tabColor theme="9" tint="0.59999389629810485"/>
    <pageSetUpPr fitToPage="1"/>
  </sheetPr>
  <dimension ref="A1:T193"/>
  <sheetViews>
    <sheetView topLeftCell="A17" zoomScale="70" zoomScaleNormal="70" workbookViewId="0">
      <selection activeCell="K34" sqref="K3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1732</v>
      </c>
      <c r="G4" s="194"/>
      <c r="H4" s="194"/>
      <c r="I4" s="194"/>
    </row>
    <row r="5" spans="1:20" ht="16.5" customHeight="1" x14ac:dyDescent="0.2">
      <c r="A5" s="188" t="s">
        <v>1615</v>
      </c>
      <c r="B5" s="188"/>
      <c r="C5" s="188"/>
      <c r="D5" s="188"/>
      <c r="E5" s="188"/>
      <c r="F5" s="194" t="s">
        <v>676</v>
      </c>
      <c r="G5" s="194"/>
      <c r="H5" s="194"/>
      <c r="I5" s="194"/>
      <c r="L5" s="12"/>
      <c r="M5" s="12"/>
      <c r="N5" s="12"/>
      <c r="O5" s="12"/>
      <c r="P5" s="12"/>
      <c r="Q5" s="12"/>
    </row>
    <row r="6" spans="1:20" ht="16.5" customHeight="1" x14ac:dyDescent="0.25">
      <c r="A6" s="188" t="s">
        <v>1634</v>
      </c>
      <c r="B6" s="188"/>
      <c r="C6" s="188"/>
      <c r="D6" s="188"/>
      <c r="E6" s="188"/>
      <c r="F6" s="195">
        <v>3291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TRANSPORTATION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1687</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1687</v>
      </c>
    </row>
    <row r="17" spans="1:20" ht="16.5" customHeight="1" x14ac:dyDescent="0.25">
      <c r="A17" s="159" t="s">
        <v>1637</v>
      </c>
      <c r="B17" s="9" t="s">
        <v>172</v>
      </c>
      <c r="C17" s="9"/>
      <c r="D17" s="9"/>
      <c r="E17" s="140"/>
      <c r="F17" s="141"/>
      <c r="G17" s="141"/>
      <c r="H17" s="142"/>
      <c r="I17" s="142"/>
      <c r="J17" s="178">
        <f>M17</f>
        <v>83839.330469547567</v>
      </c>
      <c r="M17" s="143">
        <v>83839.330469547567</v>
      </c>
      <c r="P17" s="143">
        <v>83839</v>
      </c>
      <c r="Q17" s="155"/>
      <c r="S17" s="154">
        <f t="shared" si="0"/>
        <v>-0.3304695475671906</v>
      </c>
      <c r="T17" s="180" t="s">
        <v>1687</v>
      </c>
    </row>
    <row r="18" spans="1:20" ht="16.5" customHeight="1" x14ac:dyDescent="0.25">
      <c r="A18" s="54"/>
      <c r="B18" s="9" t="s">
        <v>168</v>
      </c>
      <c r="C18" s="9"/>
      <c r="D18" s="9"/>
      <c r="E18" s="140"/>
      <c r="F18" s="141"/>
      <c r="G18" s="141"/>
      <c r="H18" s="142"/>
      <c r="I18" s="142"/>
      <c r="J18" s="178">
        <f>P18</f>
        <v>885</v>
      </c>
      <c r="M18" s="143">
        <v>885.25731251537218</v>
      </c>
      <c r="P18" s="152">
        <f>IF(SUM($Q$20:$Q$23)&gt;SUM($P$15:$P$17),SUM($Q$20:$Q$23)-SUM($P$15:$P$17),0)</f>
        <v>885</v>
      </c>
      <c r="Q18" s="155"/>
      <c r="S18" s="154">
        <f t="shared" si="0"/>
        <v>-0.25731251537217759</v>
      </c>
      <c r="T18" s="179" t="s">
        <v>1668</v>
      </c>
    </row>
    <row r="19" spans="1:20" ht="16.5" customHeight="1" x14ac:dyDescent="0.25">
      <c r="A19" s="54"/>
      <c r="B19" s="9" t="s">
        <v>169</v>
      </c>
      <c r="C19" s="9"/>
      <c r="D19" s="9"/>
      <c r="E19" s="140"/>
      <c r="F19" s="141"/>
      <c r="G19" s="141"/>
      <c r="H19" s="142"/>
      <c r="I19" s="142"/>
      <c r="J19" s="178">
        <f>IF(SUM($K$20:$K$24)&gt;SUM($J$15:$J$18),SUM($K$20:$K$24)-SUM($J$15:$J$18),0)</f>
        <v>0.25731251537217759</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32604.184071490727</v>
      </c>
      <c r="N22" s="143">
        <v>32604.184071490727</v>
      </c>
      <c r="P22" s="155"/>
      <c r="Q22" s="143">
        <v>32604</v>
      </c>
      <c r="S22" s="154">
        <f t="shared" ref="S22:S25" si="1">Q22-N22</f>
        <v>-0.18407149072663742</v>
      </c>
      <c r="T22" s="179" t="s">
        <v>1668</v>
      </c>
    </row>
    <row r="23" spans="1:20" ht="16.5" customHeight="1" x14ac:dyDescent="0.25">
      <c r="A23" s="165" t="s">
        <v>1645</v>
      </c>
      <c r="B23" s="9"/>
      <c r="C23" s="9" t="s">
        <v>173</v>
      </c>
      <c r="D23" s="9"/>
      <c r="E23" s="140"/>
      <c r="F23" s="141"/>
      <c r="G23" s="141"/>
      <c r="H23" s="142"/>
      <c r="I23" s="142"/>
      <c r="J23" s="150"/>
      <c r="K23" s="178">
        <f>N23</f>
        <v>52120.403710572216</v>
      </c>
      <c r="N23" s="143">
        <v>52120.403710572216</v>
      </c>
      <c r="P23" s="155"/>
      <c r="Q23" s="143">
        <v>52120</v>
      </c>
      <c r="S23" s="154">
        <f t="shared" si="1"/>
        <v>-0.40371057221636875</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84724.587782062939</v>
      </c>
      <c r="K26" s="107">
        <f>SUM(K15:K25)</f>
        <v>84724.587782062939</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1678</v>
      </c>
      <c r="D32" s="138"/>
      <c r="E32" s="138"/>
      <c r="F32" s="139"/>
      <c r="G32" s="139"/>
      <c r="H32" s="130"/>
      <c r="I32" s="130"/>
      <c r="J32" s="134"/>
      <c r="K32" s="134"/>
    </row>
    <row r="33" spans="1:12" ht="16.5" customHeight="1" x14ac:dyDescent="0.25">
      <c r="B33" s="9" t="s">
        <v>179</v>
      </c>
      <c r="C33" s="9"/>
      <c r="D33" s="140"/>
      <c r="E33" s="140"/>
      <c r="F33" s="141"/>
      <c r="G33" s="141"/>
      <c r="H33" s="142"/>
      <c r="I33" s="142"/>
      <c r="J33" s="143">
        <v>55003.155226091265</v>
      </c>
      <c r="K33" s="144"/>
    </row>
    <row r="34" spans="1:12" ht="16.5" customHeight="1" x14ac:dyDescent="0.25">
      <c r="A34" s="54"/>
      <c r="B34" s="9"/>
      <c r="C34" s="9" t="s">
        <v>1676</v>
      </c>
      <c r="D34" s="140"/>
      <c r="E34" s="140"/>
      <c r="F34" s="141"/>
      <c r="G34" s="141"/>
      <c r="H34" s="142"/>
      <c r="I34" s="142"/>
      <c r="J34" s="144"/>
      <c r="K34" s="143">
        <v>55003.155226091265</v>
      </c>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55003.155226091265</v>
      </c>
      <c r="K36" s="107">
        <f>SUM(K33:K35)</f>
        <v>55003.155226091265</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55003.155226091265</v>
      </c>
      <c r="K41" s="144"/>
    </row>
    <row r="42" spans="1:12" ht="16.5" customHeight="1" x14ac:dyDescent="0.25">
      <c r="A42" s="54"/>
      <c r="B42" s="9"/>
      <c r="C42" s="9" t="s">
        <v>180</v>
      </c>
      <c r="D42" s="140"/>
      <c r="E42" s="140"/>
      <c r="F42" s="141"/>
      <c r="G42" s="141"/>
      <c r="H42" s="142"/>
      <c r="I42" s="142"/>
      <c r="J42" s="144"/>
      <c r="K42" s="143">
        <v>55003.155226091265</v>
      </c>
    </row>
    <row r="43" spans="1:12" ht="16.5" customHeight="1" x14ac:dyDescent="0.25">
      <c r="A43" s="54"/>
      <c r="B43" s="130" t="s">
        <v>1639</v>
      </c>
      <c r="C43" s="16"/>
      <c r="D43" s="16"/>
      <c r="E43" s="16"/>
      <c r="F43" s="17"/>
      <c r="G43" s="17"/>
      <c r="H43" s="18"/>
      <c r="I43" s="18"/>
      <c r="J43" s="107">
        <f>SUM(J39:J42)</f>
        <v>55003.155226091265</v>
      </c>
      <c r="K43" s="107">
        <f>SUM(K39:K42)</f>
        <v>55003.155226091265</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1677</v>
      </c>
      <c r="C47" s="9"/>
      <c r="D47" s="140"/>
      <c r="E47" s="140"/>
      <c r="F47" s="141"/>
      <c r="G47" s="141"/>
      <c r="H47" s="142"/>
      <c r="I47" s="142"/>
      <c r="J47" s="143">
        <v>55003.155226091265</v>
      </c>
      <c r="K47" s="144"/>
    </row>
    <row r="48" spans="1:12" ht="16.5" customHeight="1" x14ac:dyDescent="0.25">
      <c r="A48" s="165" t="s">
        <v>1645</v>
      </c>
      <c r="B48" s="9"/>
      <c r="C48" s="9" t="s">
        <v>173</v>
      </c>
      <c r="D48" s="140"/>
      <c r="E48" s="140"/>
      <c r="F48" s="141"/>
      <c r="G48" s="141"/>
      <c r="H48" s="142"/>
      <c r="I48" s="142"/>
      <c r="J48" s="144"/>
      <c r="K48" s="143">
        <v>55003.155226091265</v>
      </c>
    </row>
    <row r="49" spans="1:16" ht="16.5" customHeight="1" x14ac:dyDescent="0.25">
      <c r="A49" s="54"/>
      <c r="C49" s="16"/>
      <c r="D49" s="16"/>
      <c r="E49" s="16"/>
      <c r="F49" s="17"/>
      <c r="G49" s="17"/>
      <c r="H49" s="18"/>
      <c r="I49" s="18"/>
      <c r="J49" s="107">
        <f>SUM(J47:J48)</f>
        <v>55003.155226091265</v>
      </c>
      <c r="K49" s="107">
        <f>SUM(K47:K48)</f>
        <v>55003.155226091265</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47947.59084479147</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47947.59084479147</v>
      </c>
    </row>
    <row r="59" spans="1:16" ht="16.5" customHeight="1" x14ac:dyDescent="0.25">
      <c r="A59" s="54"/>
      <c r="C59" s="16"/>
      <c r="D59" s="16"/>
      <c r="E59" s="16"/>
      <c r="F59" s="17"/>
      <c r="G59" s="17"/>
      <c r="H59" s="18"/>
      <c r="I59" s="18"/>
      <c r="J59" s="107">
        <f>SUM(J55:J58)</f>
        <v>47947.59084479147</v>
      </c>
      <c r="K59" s="107">
        <f>SUM(K55:K58)</f>
        <v>47947.59084479147</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1679</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47118.596509896699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1298.3634901033045</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48416.960000000006</v>
      </c>
    </row>
    <row r="65" spans="1:12" ht="16.5" customHeight="1" x14ac:dyDescent="0.25">
      <c r="A65" s="54"/>
      <c r="C65" s="16"/>
      <c r="D65" s="16"/>
      <c r="E65" s="16"/>
      <c r="F65" s="17"/>
      <c r="G65" s="17"/>
      <c r="H65" s="18"/>
      <c r="I65" s="18"/>
      <c r="J65" s="107">
        <f>SUM(J62:J64)</f>
        <v>48416.960000000006</v>
      </c>
      <c r="K65" s="107">
        <f>SUM(K62:K64)</f>
        <v>48416.960000000006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47118.596509896699</v>
      </c>
      <c r="K68" s="144"/>
    </row>
    <row r="69" spans="1:12" ht="16.5" customHeight="1" x14ac:dyDescent="0.25">
      <c r="A69" s="54"/>
      <c r="B69" s="9"/>
      <c r="C69" s="9" t="s">
        <v>185</v>
      </c>
      <c r="D69" s="140"/>
      <c r="E69" s="140"/>
      <c r="F69" s="141"/>
      <c r="G69" s="141"/>
      <c r="H69" s="142"/>
      <c r="I69" s="142"/>
      <c r="J69" s="144"/>
      <c r="K69" s="143">
        <v>47118.596509896699</v>
      </c>
      <c r="L69" s="10" t="str">
        <f>IF($J$62=$K$69,"","&lt;- Accts 0848 must agree")</f>
        <v/>
      </c>
    </row>
    <row r="70" spans="1:12" ht="16.5" customHeight="1" x14ac:dyDescent="0.25">
      <c r="A70" s="54"/>
      <c r="C70" s="16"/>
      <c r="D70" s="16"/>
      <c r="E70" s="16"/>
      <c r="F70" s="17"/>
      <c r="G70" s="17"/>
      <c r="H70" s="18"/>
      <c r="I70" s="18"/>
      <c r="J70" s="107">
        <f>SUM(J68:J69)</f>
        <v>47118.596509896699</v>
      </c>
      <c r="K70" s="107">
        <f>SUM(K68:K69)</f>
        <v>47118.596509896699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44185.73085604253</v>
      </c>
      <c r="K75" s="144"/>
    </row>
    <row r="76" spans="1:12" ht="16.5" customHeight="1" x14ac:dyDescent="0.25">
      <c r="A76" s="54"/>
      <c r="B76" s="9"/>
      <c r="C76" s="9" t="s">
        <v>193</v>
      </c>
      <c r="D76" s="140"/>
      <c r="E76" s="140"/>
      <c r="F76" s="141"/>
      <c r="G76" s="141"/>
      <c r="H76" s="142"/>
      <c r="I76" s="142"/>
      <c r="J76" s="144"/>
      <c r="K76" s="143">
        <v>44185.73085604253</v>
      </c>
    </row>
    <row r="77" spans="1:12" ht="16.5" customHeight="1" x14ac:dyDescent="0.2">
      <c r="A77" s="54"/>
      <c r="B77" s="191" t="s">
        <v>1675</v>
      </c>
      <c r="C77" s="191"/>
      <c r="D77" s="191"/>
      <c r="E77" s="191"/>
      <c r="F77" s="191"/>
      <c r="G77" s="191"/>
      <c r="H77" s="191"/>
      <c r="I77" s="191"/>
      <c r="J77" s="107">
        <f>SUM(J75:J76)</f>
        <v>44185.73085604253</v>
      </c>
      <c r="K77" s="107">
        <f>SUM(K75:K76)</f>
        <v>44185.73085604253</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1685</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1680</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138842.48569563884</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-80551.7749162822</v>
      </c>
    </row>
    <row r="128" spans="1:12" ht="16.5" customHeight="1" x14ac:dyDescent="0.25">
      <c r="D128" s="140" t="s">
        <v>1656</v>
      </c>
      <c r="H128" s="10"/>
      <c r="K128" s="169">
        <f>-K23-K48+J68+J75+J96-K113</f>
        <v>-15819.231570724252</v>
      </c>
    </row>
    <row r="129" spans="4:11" ht="16.5" customHeight="1" x14ac:dyDescent="0.25">
      <c r="D129" s="140" t="s">
        <v>1657</v>
      </c>
      <c r="H129" s="10"/>
      <c r="K129" s="169">
        <f>-K76</f>
        <v>-44185.73085604253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1DE84D83-D59F-4BB4-90C8-BACABB22A46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C3A8816-B58E-4898-B3DB-4F708C68826C}">
      <formula1>0</formula1>
    </dataValidation>
    <dataValidation operator="lessThan" allowBlank="1" showInputMessage="1" showErrorMessage="1" sqref="A3:A8" xr:uid="{94E44F7D-AEFB-4352-932E-08A5CDA4BFF8}"/>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D98961F2-73E4-4D38-AED1-97688130D4A3}">
          <x14:formula1>
            <xm:f>'Drop Down Menus'!$E$1:$E$3</xm:f>
          </x14:formula1>
          <xm:sqref>F8</xm:sqref>
        </x14:dataValidation>
        <x14:dataValidation type="list" allowBlank="1" showInputMessage="1" showErrorMessage="1" xr:uid="{93AB465F-A943-4374-84EC-69F29A2F8DF8}">
          <x14:formula1>
            <xm:f>'Drop Down Menus'!$B$1:$B$2</xm:f>
          </x14:formula1>
          <xm:sqref>F7</xm:sqref>
        </x14:dataValidation>
        <x14:dataValidation type="list" allowBlank="1" showInputMessage="1" showErrorMessage="1" xr:uid="{373209DC-EC9D-42B6-9076-9DC23050FE60}">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 zoomScale="70" zoomScaleNormal="70" workbookViewId="0">
      <selection activeCell="D10" sqref="D1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2660</v>
      </c>
      <c r="C9" s="210"/>
      <c r="D9" s="3"/>
      <c r="E9" s="3"/>
      <c r="F9" s="3"/>
    </row>
    <row r="10" spans="1:13" ht="15.75" x14ac:dyDescent="0.25">
      <c r="A10" s="5" t="s">
        <v>191</v>
      </c>
      <c r="B10" s="211" t="s">
        <v>1732</v>
      </c>
      <c r="C10" s="211"/>
      <c r="D10" s="3"/>
      <c r="E10" s="3"/>
      <c r="F10" s="3"/>
      <c r="G10" s="27"/>
      <c r="H10" s="27"/>
      <c r="I10" s="27"/>
      <c r="J10" s="27"/>
      <c r="K10" s="27"/>
      <c r="L10" s="27"/>
      <c r="M10" s="27"/>
    </row>
    <row r="11" spans="1:13" ht="32.25" customHeight="1" x14ac:dyDescent="0.25">
      <c r="A11" s="202" t="s">
        <v>1688</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f>26500344+1</f>
        <v>26500345</v>
      </c>
      <c r="C13" s="55">
        <v>644502.90104563418</v>
      </c>
      <c r="D13" s="200" t="s">
        <v>4</v>
      </c>
      <c r="E13" s="201"/>
      <c r="F13" s="201"/>
      <c r="G13" s="29"/>
      <c r="H13" s="29"/>
      <c r="I13" s="29"/>
      <c r="J13" s="29"/>
      <c r="K13" s="29"/>
      <c r="L13" s="29"/>
      <c r="M13" s="29"/>
    </row>
    <row r="14" spans="1:13" x14ac:dyDescent="0.2">
      <c r="A14" s="51" t="str">
        <f>LEFT(A13,4)+1&amp;"–"&amp;RIGHT(A13,4)+1</f>
        <v>2025–2026</v>
      </c>
      <c r="B14" s="55">
        <v>20746760</v>
      </c>
      <c r="C14" s="55">
        <v>460667.47243739315</v>
      </c>
      <c r="D14" s="200"/>
      <c r="E14" s="201"/>
      <c r="F14" s="201"/>
    </row>
    <row r="15" spans="1:13" ht="15.75" x14ac:dyDescent="0.2">
      <c r="A15" s="51" t="str">
        <f>LEFT(A14,4)+1&amp;"–"&amp;RIGHT(A14,4)+1</f>
        <v>2026–2027</v>
      </c>
      <c r="B15" s="55">
        <v>9091794</v>
      </c>
      <c r="C15" s="55">
        <v>288162.36766134511</v>
      </c>
      <c r="D15" s="197" t="s">
        <v>124</v>
      </c>
      <c r="E15" s="197"/>
      <c r="F15" s="197"/>
      <c r="G15" s="30"/>
      <c r="H15" s="30"/>
      <c r="I15" s="30"/>
      <c r="J15" s="30"/>
      <c r="K15" s="30"/>
      <c r="L15" s="30"/>
      <c r="M15" s="30"/>
    </row>
    <row r="16" spans="1:13" x14ac:dyDescent="0.2">
      <c r="A16" s="51" t="str">
        <f>LEFT(A15,4)+1&amp;"–"&amp;RIGHT(A15,4)+1</f>
        <v>2027–2028</v>
      </c>
      <c r="B16" s="55">
        <v>5745951</v>
      </c>
      <c r="C16" s="55">
        <v>140543.66974025621</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1014822</v>
      </c>
      <c r="C17" s="55">
        <v>68344.776557879886</v>
      </c>
      <c r="D17" s="197"/>
      <c r="E17" s="197"/>
      <c r="F17" s="197"/>
      <c r="G17" s="31"/>
      <c r="H17" s="31"/>
      <c r="I17" s="31"/>
      <c r="J17" s="31"/>
      <c r="K17" s="31"/>
    </row>
    <row r="18" spans="1:13" ht="15" customHeight="1" x14ac:dyDescent="0.25">
      <c r="A18" s="51" t="str">
        <f>LEFT(A17,4)+1&amp;"–"&amp;RIGHT(A17,4)+5</f>
        <v>2029–2034</v>
      </c>
      <c r="B18" s="55">
        <f>2433290-3</f>
        <v>2433287</v>
      </c>
      <c r="C18" s="55">
        <v>108119</v>
      </c>
      <c r="D18" s="200" t="s">
        <v>6</v>
      </c>
      <c r="E18" s="201"/>
      <c r="F18" s="201"/>
      <c r="G18" s="29"/>
      <c r="H18" s="29"/>
      <c r="I18" s="29"/>
      <c r="J18" s="29"/>
      <c r="K18" s="29"/>
      <c r="L18" s="29"/>
      <c r="M18" s="29"/>
    </row>
    <row r="19" spans="1:13" x14ac:dyDescent="0.2">
      <c r="A19" s="51" t="str">
        <f t="shared" ref="A19:A32" si="0">LEFT(A18,4)+5&amp;"–"&amp;RIGHT(A18,4)+5</f>
        <v>2034–2039</v>
      </c>
      <c r="B19" s="55">
        <v>0</v>
      </c>
      <c r="C19" s="55">
        <v>0</v>
      </c>
      <c r="D19" s="200"/>
      <c r="E19" s="201"/>
      <c r="F19" s="201"/>
    </row>
    <row r="20" spans="1:13" ht="15.75" x14ac:dyDescent="0.2">
      <c r="A20" s="51" t="str">
        <f t="shared" si="0"/>
        <v>2039–2044</v>
      </c>
      <c r="B20" s="55">
        <v>0</v>
      </c>
      <c r="C20" s="55">
        <v>0</v>
      </c>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2660</v>
      </c>
      <c r="C40" s="206"/>
      <c r="E40" s="32"/>
    </row>
    <row r="41" spans="1:13" ht="15.75" x14ac:dyDescent="0.25">
      <c r="A41" s="5" t="s">
        <v>191</v>
      </c>
      <c r="B41" s="204" t="str">
        <f>B10</f>
        <v>Department of Transportation</v>
      </c>
      <c r="C41" s="204"/>
      <c r="E41" s="32"/>
    </row>
    <row r="42" spans="1:13" ht="32.25" customHeight="1" x14ac:dyDescent="0.25">
      <c r="A42" s="202" t="s">
        <v>1688</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2660</v>
      </c>
      <c r="C71" s="206"/>
    </row>
    <row r="72" spans="1:13" ht="15.75" x14ac:dyDescent="0.25">
      <c r="A72" s="5" t="s">
        <v>191</v>
      </c>
      <c r="B72" s="204" t="str">
        <f>B10</f>
        <v>Department of Transportation</v>
      </c>
      <c r="C72" s="204"/>
    </row>
    <row r="73" spans="1:13" ht="32.25" customHeight="1" x14ac:dyDescent="0.25">
      <c r="A73" s="202" t="s">
        <v>1688</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D1" zoomScale="80" zoomScaleNormal="80" workbookViewId="0">
      <selection activeCell="U9" sqref="U9"/>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0042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2660 - Department of Transportation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1682</v>
      </c>
      <c r="I8" s="45"/>
      <c r="J8" s="158" t="s">
        <v>1683</v>
      </c>
      <c r="K8" s="45"/>
      <c r="L8" s="158"/>
      <c r="M8" s="45"/>
      <c r="N8" s="158" t="s">
        <v>1636</v>
      </c>
      <c r="O8" s="45"/>
      <c r="P8" s="156"/>
      <c r="Q8" s="43"/>
    </row>
    <row r="9" spans="2:17" x14ac:dyDescent="0.25">
      <c r="B9" s="41"/>
      <c r="C9" s="45" t="s">
        <v>16</v>
      </c>
      <c r="Q9" s="43"/>
    </row>
    <row r="10" spans="2:17" ht="18.75" thickBot="1" x14ac:dyDescent="0.3">
      <c r="B10" s="41"/>
      <c r="D10" s="35" t="s">
        <v>17</v>
      </c>
      <c r="F10" s="61">
        <v>76707490</v>
      </c>
      <c r="G10" s="58"/>
      <c r="H10" s="61">
        <v>25552281</v>
      </c>
      <c r="I10" s="58"/>
      <c r="J10" s="61">
        <v>36726812</v>
      </c>
      <c r="K10" s="58"/>
      <c r="L10" s="63">
        <f>SUM(F10+H10-J10)</f>
        <v>65532959</v>
      </c>
      <c r="M10" s="58"/>
      <c r="N10" s="61">
        <v>26500345</v>
      </c>
      <c r="O10" s="58"/>
      <c r="P10" s="63">
        <f>L10-N10</f>
        <v>39032614</v>
      </c>
      <c r="Q10" s="43"/>
    </row>
    <row r="11" spans="2:17" ht="19.5" thickTop="1" thickBot="1" x14ac:dyDescent="0.3">
      <c r="B11" s="41"/>
      <c r="C11" s="45" t="s">
        <v>18</v>
      </c>
      <c r="F11" s="62">
        <f>SUM(F10:F10)</f>
        <v>76707490</v>
      </c>
      <c r="G11" s="58"/>
      <c r="H11" s="62">
        <f>SUM(H10:H10)</f>
        <v>25552281</v>
      </c>
      <c r="I11" s="58"/>
      <c r="J11" s="62">
        <f>SUM(J10:J10)</f>
        <v>36726812</v>
      </c>
      <c r="K11" s="58"/>
      <c r="L11" s="62">
        <f>SUM(L10:L10)</f>
        <v>65532959</v>
      </c>
      <c r="M11" s="58"/>
      <c r="N11" s="62">
        <f>SUM(N10:N10)</f>
        <v>26500345</v>
      </c>
      <c r="O11" s="58"/>
      <c r="P11" s="62">
        <f>SUM(P10:P10)</f>
        <v>39032614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v>0</v>
      </c>
      <c r="G14" s="58"/>
      <c r="H14" s="61">
        <v>0</v>
      </c>
      <c r="I14" s="58"/>
      <c r="J14" s="61">
        <v>0</v>
      </c>
      <c r="K14" s="58"/>
      <c r="L14" s="63">
        <f>SUM(F14+H14-J14)</f>
        <v>0</v>
      </c>
      <c r="M14" s="58"/>
      <c r="N14" s="61">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0042 Journal Entries'!$F$8="Proprietary - Enterprise Fund",'LS-Fund 0042 Journal Entries'!$K$23,0)</f>
        <v>0</v>
      </c>
      <c r="G18" s="58"/>
      <c r="H18" s="61">
        <f>IF('LS-Fund 0042 Journal Entries'!$F$8="Proprietary - Enterprise Fund",SUM('LS-Fund 0042 Journal Entries'!$K$48,'LS-Fund 0042 Journal Entries'!K113),0)</f>
        <v>0</v>
      </c>
      <c r="I18" s="58"/>
      <c r="J18" s="61">
        <f>IF('LS-Fund 0042 Journal Entries'!$F$8="Proprietary - Enterprise Fund",SUM('LS-Fund 0042 Journal Entries'!$J$68,'LS-Fund 0042 Journal Entries'!J96),0)</f>
        <v>0</v>
      </c>
      <c r="K18" s="58"/>
      <c r="L18" s="63">
        <f>SUM(F18+H18-J18)</f>
        <v>0</v>
      </c>
      <c r="M18" s="58"/>
      <c r="N18" s="61">
        <f>IF('LS-Fund 0042 Journal Entries'!$F$8="Proprietary - Enterprise Fund",'LS-Fund 0042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1689</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47" zoomScale="112" zoomScaleNormal="112" workbookViewId="0">
      <selection activeCell="N63" sqref="N63"/>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1681</v>
      </c>
      <c r="I15" s="79" t="s">
        <v>145</v>
      </c>
      <c r="J15" s="79" t="s">
        <v>1684</v>
      </c>
      <c r="K15" s="80"/>
      <c r="L15" s="79"/>
      <c r="M15" s="80"/>
      <c r="N15" s="81" t="s">
        <v>147</v>
      </c>
      <c r="O15" s="78"/>
      <c r="P15" s="82" t="s">
        <v>148</v>
      </c>
      <c r="Q15" s="75"/>
    </row>
    <row r="16" spans="1:17" ht="15" customHeight="1" x14ac:dyDescent="0.25">
      <c r="A16" s="83"/>
      <c r="B16" s="84">
        <v>76707490.926146969</v>
      </c>
      <c r="C16" s="116" t="s">
        <v>145</v>
      </c>
      <c r="D16" s="84">
        <v>25552281.577976324</v>
      </c>
      <c r="E16" s="118" t="s">
        <v>146</v>
      </c>
      <c r="F16" s="84">
        <v>34695194.137960888</v>
      </c>
      <c r="G16" s="117" t="s">
        <v>146</v>
      </c>
      <c r="H16" s="84">
        <v>2031617.24</v>
      </c>
      <c r="I16" s="117" t="s">
        <v>145</v>
      </c>
      <c r="J16" s="84">
        <f>IF('LS-Fund 0042 Journal Entries'!$F$8="Governmental Fund",'LS-Fund 0042 Journal Entries'!$K$113,0)</f>
        <v>0</v>
      </c>
      <c r="K16" s="118" t="s">
        <v>149</v>
      </c>
      <c r="L16" s="87">
        <f>+B16+D16-F16-H16+J16</f>
        <v>65532961.126162417</v>
      </c>
      <c r="M16" s="86"/>
      <c r="N16" s="88">
        <f>SUM('LS-Department Note Disclosure'!B13:B36)</f>
        <v>65532959</v>
      </c>
      <c r="O16" s="85"/>
      <c r="P16" s="89">
        <f>L16-N16</f>
        <v>2.1261624172329903</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1681</v>
      </c>
      <c r="I23" s="79" t="s">
        <v>145</v>
      </c>
      <c r="J23" s="79" t="s">
        <v>1684</v>
      </c>
      <c r="K23" s="80"/>
      <c r="L23" s="79"/>
      <c r="M23" s="80"/>
      <c r="N23" s="81" t="s">
        <v>147</v>
      </c>
      <c r="O23" s="78"/>
      <c r="P23" s="82" t="s">
        <v>148</v>
      </c>
      <c r="Q23" s="75"/>
    </row>
    <row r="24" spans="1:17" ht="15" customHeight="1" x14ac:dyDescent="0.25">
      <c r="A24" s="83"/>
      <c r="B24" s="84">
        <v>0</v>
      </c>
      <c r="C24" s="116" t="s">
        <v>145</v>
      </c>
      <c r="D24" s="84">
        <v>0</v>
      </c>
      <c r="E24" s="118" t="s">
        <v>146</v>
      </c>
      <c r="F24" s="84">
        <v>0</v>
      </c>
      <c r="G24" s="117" t="s">
        <v>146</v>
      </c>
      <c r="H24" s="84">
        <v>0</v>
      </c>
      <c r="I24" s="117" t="s">
        <v>145</v>
      </c>
      <c r="J24" s="84">
        <f>IF('LS-Fund 0042 Journal Entries'!$F$8="Proprietary - Internal Service Fund",'LS-Fund 0042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1681</v>
      </c>
      <c r="I32" s="79" t="s">
        <v>145</v>
      </c>
      <c r="J32" s="79" t="s">
        <v>1684</v>
      </c>
      <c r="K32" s="80"/>
      <c r="L32" s="79"/>
      <c r="M32" s="80"/>
      <c r="N32" s="81" t="s">
        <v>147</v>
      </c>
      <c r="O32" s="78"/>
      <c r="P32" s="82" t="s">
        <v>148</v>
      </c>
      <c r="Q32" s="75"/>
    </row>
    <row r="33" spans="1:17" ht="15" customHeight="1" x14ac:dyDescent="0.25">
      <c r="A33" s="83"/>
      <c r="B33" s="84">
        <f>IF('LS-Fund 0042 Journal Entries'!$F$8="Proprietary - Enterprise Fund",'LS-Fund 0042 Journal Entries'!$K$23,0)</f>
        <v>0</v>
      </c>
      <c r="C33" s="116" t="s">
        <v>145</v>
      </c>
      <c r="D33" s="84">
        <f>IF('LS-Fund 0042 Journal Entries'!$F$8="Proprietary - Enterprise Fund",'LS-Fund 0042 Journal Entries'!$K$48,0)</f>
        <v>0</v>
      </c>
      <c r="E33" s="118" t="s">
        <v>146</v>
      </c>
      <c r="F33" s="84">
        <f>IF('LS-Fund 0042 Journal Entries'!$F$8="Proprietary - Enterprise Fund",'LS-Fund 0042 Journal Entries'!$J$68,0)</f>
        <v>0</v>
      </c>
      <c r="G33" s="117" t="s">
        <v>146</v>
      </c>
      <c r="H33" s="84">
        <f>IF('LS-Fund 0042 Journal Entries'!$F$8="Proprietary - Enterprise Fund",'LS-Fund 0042 Journal Entries'!$J$96,0)</f>
        <v>0</v>
      </c>
      <c r="I33" s="117" t="s">
        <v>145</v>
      </c>
      <c r="J33" s="84">
        <f>IF('LS-Fund 0042 Journal Entries'!$F$8="Proprietary - Enterprise Fund",'LS-Fund 0042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v>26500345</v>
      </c>
      <c r="C42" s="92"/>
      <c r="E42" s="92"/>
      <c r="G42" s="115"/>
      <c r="H42" s="115"/>
      <c r="I42" s="115"/>
      <c r="J42" s="115"/>
      <c r="K42" s="92"/>
      <c r="L42" s="92"/>
      <c r="M42" s="93"/>
      <c r="N42" s="88">
        <f>'LS-Department Note Disclosure'!B13</f>
        <v>26500345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0042 Journal Entries'!$F$8="Proprietary - Enterprise Fund",'LS-Fund 0042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76707490.926146969</v>
      </c>
      <c r="J66" s="97">
        <f>SUM(D66)</f>
        <v>76707490.926146969</v>
      </c>
      <c r="L66" s="98" t="str">
        <f>CONCATENATE("Balance July 1, ",LEFT('LS-Department Note Disclosure'!$B$8,4))</f>
        <v>Balance July 1, 2023</v>
      </c>
      <c r="N66" s="97">
        <f>'LS-Lease Liabilities'!F10</f>
        <v>76707490</v>
      </c>
      <c r="P66" s="89">
        <f>J66-N66</f>
        <v>0.9261469691991806</v>
      </c>
    </row>
    <row r="67" spans="1:17" x14ac:dyDescent="0.25">
      <c r="B67" s="79" t="s">
        <v>156</v>
      </c>
      <c r="D67" s="97">
        <f>$D$16</f>
        <v>25552281.577976324</v>
      </c>
      <c r="E67" s="119" t="s">
        <v>145</v>
      </c>
      <c r="F67" s="79" t="s">
        <v>1684</v>
      </c>
      <c r="H67" s="97">
        <f>$J$16</f>
        <v>0</v>
      </c>
      <c r="J67" s="97">
        <f>SUM(D67,H67)</f>
        <v>25552281.577976324</v>
      </c>
      <c r="L67" s="98" t="s">
        <v>12</v>
      </c>
      <c r="N67" s="97">
        <f>'LS-Lease Liabilities'!H10</f>
        <v>25552281</v>
      </c>
      <c r="P67" s="89">
        <f t="shared" ref="P67:P69" si="0">J67-N67</f>
        <v>0.57797632366418839</v>
      </c>
    </row>
    <row r="68" spans="1:17" x14ac:dyDescent="0.25">
      <c r="B68" s="79" t="s">
        <v>151</v>
      </c>
      <c r="D68" s="97">
        <f>$F$16</f>
        <v>34695194.137960888</v>
      </c>
      <c r="E68" s="119" t="s">
        <v>145</v>
      </c>
      <c r="F68" s="79" t="s">
        <v>1681</v>
      </c>
      <c r="H68" s="97">
        <f>$H$16</f>
        <v>2031617.24</v>
      </c>
      <c r="J68" s="97">
        <f>SUM(D68,H68)</f>
        <v>36726811.377960891</v>
      </c>
      <c r="L68" s="98" t="s">
        <v>13</v>
      </c>
      <c r="N68" s="97">
        <f>'LS-Lease Liabilities'!J10</f>
        <v>36726812</v>
      </c>
      <c r="P68" s="89">
        <f t="shared" si="0"/>
        <v>-0.62203910946846008</v>
      </c>
    </row>
    <row r="69" spans="1:17" x14ac:dyDescent="0.25">
      <c r="B69" s="79" t="s">
        <v>155</v>
      </c>
      <c r="D69" s="97">
        <f>$B$42</f>
        <v>26500345</v>
      </c>
      <c r="J69" s="97">
        <f>SUM(D69)</f>
        <v>26500345</v>
      </c>
      <c r="L69" s="98" t="s">
        <v>14</v>
      </c>
      <c r="N69" s="97">
        <f>'LS-Lease Liabilities'!N10</f>
        <v>26500345</v>
      </c>
      <c r="P69" s="89">
        <f t="shared" si="0"/>
        <v>0</v>
      </c>
    </row>
    <row r="70" spans="1:17" x14ac:dyDescent="0.25">
      <c r="D70" s="99"/>
    </row>
    <row r="71" spans="1:17" ht="15.95" customHeight="1" x14ac:dyDescent="0.25">
      <c r="D71" s="91" t="str">
        <f>IF(OR(P66&gt;0, (P66&lt;0),P67&gt;0,P67&lt;0,P68&gt;0,P68&lt;0,P69&gt;0,P69&lt;0), "Please review and correct the variance.","")</f>
        <v>Please review and correct the variance.</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1684</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1681</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1684</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1681</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1713</v>
      </c>
      <c r="B1" s="183"/>
      <c r="C1" s="183"/>
      <c r="D1" s="183"/>
      <c r="E1" s="183"/>
      <c r="F1" s="184"/>
    </row>
    <row r="2" spans="1:6" x14ac:dyDescent="0.25">
      <c r="A2" s="185"/>
      <c r="B2" s="186"/>
      <c r="C2" s="186"/>
      <c r="D2" s="186"/>
      <c r="E2" s="186"/>
      <c r="F2" s="187"/>
    </row>
    <row r="4" spans="1:6" ht="15" x14ac:dyDescent="0.25">
      <c r="A4" s="172" t="s">
        <v>1660</v>
      </c>
      <c r="B4" s="173" t="s">
        <v>1686</v>
      </c>
    </row>
    <row r="5" spans="1:6" ht="15" x14ac:dyDescent="0.25">
      <c r="A5" s="172" t="s">
        <v>1691</v>
      </c>
      <c r="B5" s="173" t="s">
        <v>1724</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1690</v>
      </c>
      <c r="E10" s="177" t="s">
        <v>1665</v>
      </c>
      <c r="F10" s="177" t="s">
        <v>1666</v>
      </c>
    </row>
    <row r="11" spans="1:6" ht="28.5" x14ac:dyDescent="0.25">
      <c r="A11" s="171" t="s">
        <v>1674</v>
      </c>
      <c r="B11" s="171" t="s">
        <v>1693</v>
      </c>
      <c r="C11" s="171" t="s">
        <v>1667</v>
      </c>
      <c r="D11" s="171" t="s">
        <v>1721</v>
      </c>
      <c r="E11" s="171" t="s">
        <v>1710</v>
      </c>
      <c r="F11" s="171" t="s">
        <v>1711</v>
      </c>
    </row>
    <row r="12" spans="1:6" ht="42.75" x14ac:dyDescent="0.25">
      <c r="A12" s="171" t="s">
        <v>1674</v>
      </c>
      <c r="B12" s="171" t="s">
        <v>1694</v>
      </c>
      <c r="C12" s="171" t="s">
        <v>1695</v>
      </c>
      <c r="D12" s="171" t="s">
        <v>1695</v>
      </c>
      <c r="E12" s="171" t="s">
        <v>1714</v>
      </c>
      <c r="F12" s="171" t="s">
        <v>1712</v>
      </c>
    </row>
    <row r="13" spans="1:6" ht="28.5" x14ac:dyDescent="0.25">
      <c r="A13" s="171" t="s">
        <v>1674</v>
      </c>
      <c r="B13" s="171" t="s">
        <v>1719</v>
      </c>
      <c r="C13" s="171" t="s">
        <v>1716</v>
      </c>
      <c r="D13" s="171" t="s">
        <v>1716</v>
      </c>
      <c r="E13" s="171" t="s">
        <v>1717</v>
      </c>
      <c r="F13" s="171" t="s">
        <v>1718</v>
      </c>
    </row>
    <row r="14" spans="1:6" ht="28.5" x14ac:dyDescent="0.25">
      <c r="A14" s="171" t="s">
        <v>1674</v>
      </c>
      <c r="B14" s="171" t="s">
        <v>1729</v>
      </c>
      <c r="C14" s="171" t="s">
        <v>1730</v>
      </c>
      <c r="D14" s="171" t="s">
        <v>1730</v>
      </c>
      <c r="E14" s="171" t="s">
        <v>1731</v>
      </c>
      <c r="F14" s="171" t="s">
        <v>1718</v>
      </c>
    </row>
    <row r="15" spans="1:6" ht="28.5" x14ac:dyDescent="0.25">
      <c r="A15" s="171" t="s">
        <v>1697</v>
      </c>
      <c r="B15" s="171" t="s">
        <v>1701</v>
      </c>
      <c r="C15" s="171" t="s">
        <v>1715</v>
      </c>
      <c r="D15" s="171" t="s">
        <v>1715</v>
      </c>
      <c r="E15" s="171" t="s">
        <v>1699</v>
      </c>
      <c r="F15" s="171" t="s">
        <v>1700</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1720</v>
      </c>
      <c r="B1" s="183"/>
      <c r="C1" s="183"/>
      <c r="D1" s="183"/>
      <c r="E1" s="183"/>
      <c r="F1" s="184"/>
    </row>
    <row r="2" spans="1:6" x14ac:dyDescent="0.25">
      <c r="A2" s="185"/>
      <c r="B2" s="186"/>
      <c r="C2" s="186"/>
      <c r="D2" s="186"/>
      <c r="E2" s="186"/>
      <c r="F2" s="187"/>
    </row>
    <row r="4" spans="1:6" ht="15" x14ac:dyDescent="0.25">
      <c r="A4" s="172" t="s">
        <v>1660</v>
      </c>
      <c r="B4" s="173" t="s">
        <v>1686</v>
      </c>
    </row>
    <row r="5" spans="1:6" ht="15" x14ac:dyDescent="0.25">
      <c r="A5" s="172" t="s">
        <v>1691</v>
      </c>
      <c r="B5" s="173" t="s">
        <v>1724</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1690</v>
      </c>
      <c r="E10" s="177" t="s">
        <v>1665</v>
      </c>
      <c r="F10" s="177" t="s">
        <v>1666</v>
      </c>
    </row>
    <row r="11" spans="1:6" ht="28.5" x14ac:dyDescent="0.25">
      <c r="A11" s="171" t="s">
        <v>1672</v>
      </c>
      <c r="B11" s="171" t="s">
        <v>1693</v>
      </c>
      <c r="C11" s="171" t="s">
        <v>1667</v>
      </c>
      <c r="D11" s="171" t="s">
        <v>1692</v>
      </c>
      <c r="E11" s="171" t="s">
        <v>1710</v>
      </c>
      <c r="F11" s="171" t="s">
        <v>1711</v>
      </c>
    </row>
    <row r="12" spans="1:6" ht="42.75" x14ac:dyDescent="0.25">
      <c r="A12" s="171" t="s">
        <v>1672</v>
      </c>
      <c r="B12" s="171" t="s">
        <v>1694</v>
      </c>
      <c r="C12" s="171" t="s">
        <v>1695</v>
      </c>
      <c r="D12" s="171" t="s">
        <v>1695</v>
      </c>
      <c r="E12" s="171" t="s">
        <v>1696</v>
      </c>
      <c r="F12" s="171" t="s">
        <v>1712</v>
      </c>
    </row>
    <row r="13" spans="1:6" ht="42.75" x14ac:dyDescent="0.25">
      <c r="A13" s="171" t="s">
        <v>1673</v>
      </c>
      <c r="B13" s="171" t="s">
        <v>1722</v>
      </c>
      <c r="C13" s="171" t="s">
        <v>1667</v>
      </c>
      <c r="D13" s="171" t="s">
        <v>1703</v>
      </c>
      <c r="E13" s="171" t="s">
        <v>1723</v>
      </c>
      <c r="F13" s="171" t="s">
        <v>1705</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Drop Down Menus</vt:lpstr>
      <vt:lpstr>qryIndex02a</vt:lpstr>
      <vt:lpstr>LS-Version Changes</vt:lpstr>
      <vt:lpstr>LS-Fund 0042 Journal Entries</vt:lpstr>
      <vt:lpstr>LS-Fund 0046 Journal Entrie </vt:lpstr>
      <vt:lpstr>LS-Fund 3290 Journal Entrie </vt:lpstr>
      <vt:lpstr>LS-Fund 3291 Journal Entrie</vt:lpstr>
      <vt:lpstr>LS-Department Note Disclosure</vt:lpstr>
      <vt:lpstr>LS-Lease Liabilities</vt:lpstr>
      <vt:lpstr>LS-Check Figures  </vt:lpstr>
      <vt:lpstr>LR-Version Changes</vt:lpstr>
      <vt:lpstr>FP-Version Changes</vt:lpstr>
      <vt:lpstr>'LS-Department Note Disclosure'!Print_Area</vt:lpstr>
      <vt:lpstr>'LS-Fund 0042 Journal Entries'!Print_Area</vt:lpstr>
      <vt:lpstr>'LS-Fund 0046 Journal Entrie '!Print_Area</vt:lpstr>
      <vt:lpstr>'LS-Fund 3290 Journal Entrie '!Print_Area</vt:lpstr>
      <vt:lpstr>'LS-Fund 3291 Journal Entrie'!Print_Area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2025-03-13T00:02:08Z</dcterms:modified>
</cp:coreProperties>
</file>